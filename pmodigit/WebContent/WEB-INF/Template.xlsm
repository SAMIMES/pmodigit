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alcChain.xml" ContentType="application/vnd.openxmlformats-officedocument.spreadsheetml.calcChain+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8C4F1C90-05EB-6A55-5F09-09C24B55AC0B}"/>
  <workbookPr showInkAnnotation="0" codeName="ThisWorkbook" defaultThemeVersion="124226"/>
  <mc:AlternateContent>
    <mc:Choice Requires="x15">
      <x15ac:absPath xmlns:x15ac="http://schemas.microsoft.com/office/spreadsheetml/2010/11/ac" url="\\dscollaboration.dsone.3ds.com\DavWWWRoot\sites\DS-Services-EQ\Shared Documents\ENGAGEMENT QUALITY\PMO\EMEAR\Users\Templates\PMO Project Review\"/>
    </mc:Choice>
  </mc:AlternateContent>
  <bookViews>
    <workbookView xWindow="0" yWindow="0" windowWidth="28800" windowHeight="12585"/>
  </bookViews>
  <sheets>
    <sheet name="Project Review #1" sheetId="5" r:id="rId1"/>
    <sheet name="Quality Assurance #1" sheetId="11" r:id="rId2"/>
    <sheet name="Mandatory" sheetId="3" state="hidden" r:id="rId3"/>
    <sheet name="category list" sheetId="7" state="hidden" r:id="rId4"/>
    <sheet name="Quality Assurance old" sheetId="2" state="hidden" r:id="rId5"/>
    <sheet name="Project Closure " sheetId="12" r:id="rId6"/>
    <sheet name="Control Data" sheetId="9" r:id="rId7"/>
  </sheets>
  <definedNames>
    <definedName name="_xlnm._FilterDatabase" localSheetId="3" hidden="1">'category list'!$A$1:$G$93</definedName>
    <definedName name="_xlnm._FilterDatabase" localSheetId="2" hidden="1">Mandatory!#REF!</definedName>
    <definedName name="_xlnm._FilterDatabase" localSheetId="0" hidden="1">'Project Review #1'!$B$42:$W$92</definedName>
    <definedName name="_xlnm._FilterDatabase" localSheetId="1" hidden="1">'Quality Assurance #1'!$B$15:$E$41</definedName>
    <definedName name="_xlnm._FilterDatabase" localSheetId="4" hidden="1">'Quality Assurance old'!$A$10:$K$72</definedName>
    <definedName name="ActionList">'Project Review #1'!#REF!</definedName>
    <definedName name="Grade_Scale">'Control Data'!$A$3:$B$6</definedName>
    <definedName name="Grades">t_GradeWeight[Grade]</definedName>
    <definedName name="_xlnm.Print_Area" localSheetId="5">'Project Closure '!$B$1:$H$31</definedName>
    <definedName name="_xlnm.Print_Area" localSheetId="0">'Project Review #1'!$B$1:$T$138</definedName>
    <definedName name="_xlnm.Print_Area" localSheetId="1">'Quality Assurance #1'!$A$1:$H$53</definedName>
    <definedName name="v_A">'Control Data'!$B$6</definedName>
    <definedName name="v_B">'Control Data'!$B$5</definedName>
    <definedName name="v_C">'Control Data'!$B$4</definedName>
    <definedName name="v_D">'Control Data'!$B$3</definedName>
    <definedName name="v_Domain">t_Domain[Domain]</definedName>
    <definedName name="v_Topic">t_Topic[Topic]</definedName>
  </definedNames>
  <calcPr calcId="152511"/>
</workbook>
</file>

<file path=xl/calcChain.xml><?xml version="1.0" encoding="utf-8"?>
<calcChain xmlns="http://schemas.openxmlformats.org/spreadsheetml/2006/main">
  <c r="F49" i="12" l="1"/>
  <c r="E49" i="12"/>
  <c r="W95" i="5" l="1"/>
  <c r="X95" i="5"/>
  <c r="Y95" i="5"/>
  <c r="Z95" i="5"/>
  <c r="AA95" i="5"/>
  <c r="AB95" i="5"/>
  <c r="AC95" i="5"/>
  <c r="AD95" i="5"/>
  <c r="AE95" i="5"/>
  <c r="AF95" i="5"/>
  <c r="Q39" i="5"/>
  <c r="W100" i="5" l="1"/>
  <c r="X100" i="5"/>
  <c r="Y100" i="5"/>
  <c r="Z100" i="5"/>
  <c r="AA100" i="5"/>
  <c r="AB100" i="5"/>
  <c r="AC100" i="5"/>
  <c r="AD100" i="5"/>
  <c r="AE100" i="5"/>
  <c r="AF100" i="5"/>
  <c r="X96" i="5" l="1"/>
  <c r="Y96" i="5"/>
  <c r="Z96" i="5"/>
  <c r="AA96" i="5"/>
  <c r="AB96" i="5"/>
  <c r="AC96" i="5"/>
  <c r="AD96" i="5"/>
  <c r="AE96" i="5"/>
  <c r="AF96" i="5"/>
  <c r="X97" i="5"/>
  <c r="Y97" i="5"/>
  <c r="Z97" i="5"/>
  <c r="AA97" i="5"/>
  <c r="AB97" i="5"/>
  <c r="AC97" i="5"/>
  <c r="AD97" i="5"/>
  <c r="AE97" i="5"/>
  <c r="AF97" i="5"/>
  <c r="X98" i="5"/>
  <c r="Y98" i="5"/>
  <c r="Z98" i="5"/>
  <c r="AA98" i="5"/>
  <c r="AB98" i="5"/>
  <c r="AC98" i="5"/>
  <c r="AD98" i="5"/>
  <c r="AE98" i="5"/>
  <c r="AF98" i="5"/>
  <c r="X99" i="5"/>
  <c r="Y99" i="5"/>
  <c r="Z99" i="5"/>
  <c r="AA99" i="5"/>
  <c r="AB99" i="5"/>
  <c r="AC99" i="5"/>
  <c r="AD99" i="5"/>
  <c r="AE99" i="5"/>
  <c r="AF99" i="5"/>
  <c r="X101" i="5"/>
  <c r="Y101" i="5"/>
  <c r="Z101" i="5"/>
  <c r="AA101" i="5"/>
  <c r="AB101" i="5"/>
  <c r="AC101" i="5"/>
  <c r="AD101" i="5"/>
  <c r="AE101" i="5"/>
  <c r="AF101" i="5"/>
  <c r="X94" i="5"/>
  <c r="Y94" i="5"/>
  <c r="Z94" i="5"/>
  <c r="AA94" i="5"/>
  <c r="AB94" i="5"/>
  <c r="AC94" i="5"/>
  <c r="AD94" i="5"/>
  <c r="AE94" i="5"/>
  <c r="AF94" i="5"/>
  <c r="W94" i="5"/>
  <c r="X84" i="5"/>
  <c r="Y84" i="5"/>
  <c r="Z84" i="5"/>
  <c r="AA84" i="5"/>
  <c r="AB84" i="5"/>
  <c r="AC84" i="5"/>
  <c r="AD84" i="5"/>
  <c r="AE84" i="5"/>
  <c r="AF84" i="5"/>
  <c r="X85" i="5"/>
  <c r="Y85" i="5"/>
  <c r="Z85" i="5"/>
  <c r="AA85" i="5"/>
  <c r="AB85" i="5"/>
  <c r="AC85" i="5"/>
  <c r="AD85" i="5"/>
  <c r="AE85" i="5"/>
  <c r="AF85" i="5"/>
  <c r="X86" i="5"/>
  <c r="Y86" i="5"/>
  <c r="Z86" i="5"/>
  <c r="AA86" i="5"/>
  <c r="AB86" i="5"/>
  <c r="AC86" i="5"/>
  <c r="AD86" i="5"/>
  <c r="AE86" i="5"/>
  <c r="AF86" i="5"/>
  <c r="X87" i="5"/>
  <c r="Y87" i="5"/>
  <c r="Z87" i="5"/>
  <c r="AA87" i="5"/>
  <c r="AB87" i="5"/>
  <c r="AC87" i="5"/>
  <c r="AD87" i="5"/>
  <c r="AE87" i="5"/>
  <c r="AF87" i="5"/>
  <c r="X88" i="5"/>
  <c r="Y88" i="5"/>
  <c r="Z88" i="5"/>
  <c r="AA88" i="5"/>
  <c r="AB88" i="5"/>
  <c r="AC88" i="5"/>
  <c r="AD88" i="5"/>
  <c r="AE88" i="5"/>
  <c r="AF88" i="5"/>
  <c r="X89" i="5"/>
  <c r="Y89" i="5"/>
  <c r="Z89" i="5"/>
  <c r="AA89" i="5"/>
  <c r="AB89" i="5"/>
  <c r="AC89" i="5"/>
  <c r="AD89" i="5"/>
  <c r="AE89" i="5"/>
  <c r="AF89" i="5"/>
  <c r="X90" i="5"/>
  <c r="Y90" i="5"/>
  <c r="Z90" i="5"/>
  <c r="AA90" i="5"/>
  <c r="AB90" i="5"/>
  <c r="AC90" i="5"/>
  <c r="AD90" i="5"/>
  <c r="AE90" i="5"/>
  <c r="AF90" i="5"/>
  <c r="X91" i="5"/>
  <c r="Y91" i="5"/>
  <c r="Z91" i="5"/>
  <c r="AA91" i="5"/>
  <c r="AB91" i="5"/>
  <c r="AC91" i="5"/>
  <c r="AD91" i="5"/>
  <c r="AE91" i="5"/>
  <c r="AF91" i="5"/>
  <c r="X92" i="5"/>
  <c r="Y92" i="5"/>
  <c r="Z92" i="5"/>
  <c r="AA92" i="5"/>
  <c r="AB92" i="5"/>
  <c r="AC92" i="5"/>
  <c r="AD92" i="5"/>
  <c r="AE92" i="5"/>
  <c r="AF92" i="5"/>
  <c r="X83" i="5"/>
  <c r="Y83" i="5"/>
  <c r="Z83" i="5"/>
  <c r="AA83" i="5"/>
  <c r="AB83" i="5"/>
  <c r="AC83" i="5"/>
  <c r="AD83" i="5"/>
  <c r="AE83" i="5"/>
  <c r="AF83" i="5"/>
  <c r="W83" i="5"/>
  <c r="X72" i="5"/>
  <c r="Y72" i="5"/>
  <c r="Z72" i="5"/>
  <c r="AA72" i="5"/>
  <c r="AB72" i="5"/>
  <c r="AC72" i="5"/>
  <c r="AD72" i="5"/>
  <c r="AE72" i="5"/>
  <c r="AF72" i="5"/>
  <c r="X73" i="5"/>
  <c r="Y73" i="5"/>
  <c r="Z73" i="5"/>
  <c r="AA73" i="5"/>
  <c r="AB73" i="5"/>
  <c r="AC73" i="5"/>
  <c r="AD73" i="5"/>
  <c r="AE73" i="5"/>
  <c r="AF73" i="5"/>
  <c r="X74" i="5"/>
  <c r="Y74" i="5"/>
  <c r="Z74" i="5"/>
  <c r="AA74" i="5"/>
  <c r="AB74" i="5"/>
  <c r="AC74" i="5"/>
  <c r="AD74" i="5"/>
  <c r="AE74" i="5"/>
  <c r="AF74" i="5"/>
  <c r="X75" i="5"/>
  <c r="Y75" i="5"/>
  <c r="Z75" i="5"/>
  <c r="AA75" i="5"/>
  <c r="AB75" i="5"/>
  <c r="AC75" i="5"/>
  <c r="AD75" i="5"/>
  <c r="AE75" i="5"/>
  <c r="AF75" i="5"/>
  <c r="X76" i="5"/>
  <c r="Y76" i="5"/>
  <c r="Z76" i="5"/>
  <c r="AA76" i="5"/>
  <c r="AB76" i="5"/>
  <c r="AC76" i="5"/>
  <c r="AD76" i="5"/>
  <c r="AE76" i="5"/>
  <c r="AF76" i="5"/>
  <c r="X77" i="5"/>
  <c r="Y77" i="5"/>
  <c r="Z77" i="5"/>
  <c r="AA77" i="5"/>
  <c r="AB77" i="5"/>
  <c r="AC77" i="5"/>
  <c r="AD77" i="5"/>
  <c r="AE77" i="5"/>
  <c r="AF77" i="5"/>
  <c r="X78" i="5"/>
  <c r="Y78" i="5"/>
  <c r="Z78" i="5"/>
  <c r="AA78" i="5"/>
  <c r="AB78" i="5"/>
  <c r="AC78" i="5"/>
  <c r="AD78" i="5"/>
  <c r="AE78" i="5"/>
  <c r="AF78" i="5"/>
  <c r="X79" i="5"/>
  <c r="Y79" i="5"/>
  <c r="Z79" i="5"/>
  <c r="AA79" i="5"/>
  <c r="AB79" i="5"/>
  <c r="AC79" i="5"/>
  <c r="AD79" i="5"/>
  <c r="AE79" i="5"/>
  <c r="AF79" i="5"/>
  <c r="X80" i="5"/>
  <c r="Y80" i="5"/>
  <c r="Z80" i="5"/>
  <c r="AA80" i="5"/>
  <c r="AB80" i="5"/>
  <c r="AC80" i="5"/>
  <c r="AD80" i="5"/>
  <c r="AE80" i="5"/>
  <c r="AF80" i="5"/>
  <c r="X81" i="5"/>
  <c r="Y81" i="5"/>
  <c r="Z81" i="5"/>
  <c r="AA81" i="5"/>
  <c r="AB81" i="5"/>
  <c r="AC81" i="5"/>
  <c r="AD81" i="5"/>
  <c r="AE81" i="5"/>
  <c r="AF81" i="5"/>
  <c r="X71" i="5"/>
  <c r="Y71" i="5"/>
  <c r="Z71" i="5"/>
  <c r="AA71" i="5"/>
  <c r="AB71" i="5"/>
  <c r="AC71" i="5"/>
  <c r="AD71" i="5"/>
  <c r="AE71" i="5"/>
  <c r="AF71" i="5"/>
  <c r="W71" i="5"/>
  <c r="X67" i="5"/>
  <c r="Y67" i="5"/>
  <c r="Z67" i="5"/>
  <c r="AA67" i="5"/>
  <c r="AB67" i="5"/>
  <c r="AC67" i="5"/>
  <c r="AD67" i="5"/>
  <c r="AE67" i="5"/>
  <c r="AF67" i="5"/>
  <c r="X68" i="5"/>
  <c r="Y68" i="5"/>
  <c r="Z68" i="5"/>
  <c r="AA68" i="5"/>
  <c r="AB68" i="5"/>
  <c r="AC68" i="5"/>
  <c r="AD68" i="5"/>
  <c r="AE68" i="5"/>
  <c r="AF68" i="5"/>
  <c r="X69" i="5"/>
  <c r="Y69" i="5"/>
  <c r="Z69" i="5"/>
  <c r="AA69" i="5"/>
  <c r="AB69" i="5"/>
  <c r="AC69" i="5"/>
  <c r="AD69" i="5"/>
  <c r="AE69" i="5"/>
  <c r="AF69" i="5"/>
  <c r="X66" i="5"/>
  <c r="Y66" i="5"/>
  <c r="Z66" i="5"/>
  <c r="AA66" i="5"/>
  <c r="AB66" i="5"/>
  <c r="AC66" i="5"/>
  <c r="AD66" i="5"/>
  <c r="AE66" i="5"/>
  <c r="AF66" i="5"/>
  <c r="W66" i="5"/>
  <c r="X62" i="5"/>
  <c r="Y62" i="5"/>
  <c r="Z62" i="5"/>
  <c r="AA62" i="5"/>
  <c r="AB62" i="5"/>
  <c r="AC62" i="5"/>
  <c r="AD62" i="5"/>
  <c r="AE62" i="5"/>
  <c r="AF62" i="5"/>
  <c r="X63" i="5"/>
  <c r="Y63" i="5"/>
  <c r="Z63" i="5"/>
  <c r="AA63" i="5"/>
  <c r="AB63" i="5"/>
  <c r="AC63" i="5"/>
  <c r="AD63" i="5"/>
  <c r="AE63" i="5"/>
  <c r="AF63" i="5"/>
  <c r="X64" i="5"/>
  <c r="Y64" i="5"/>
  <c r="Z64" i="5"/>
  <c r="AA64" i="5"/>
  <c r="AB64" i="5"/>
  <c r="AC64" i="5"/>
  <c r="AD64" i="5"/>
  <c r="AE64" i="5"/>
  <c r="AF64" i="5"/>
  <c r="X61" i="5"/>
  <c r="Y61" i="5"/>
  <c r="Z61" i="5"/>
  <c r="AA61" i="5"/>
  <c r="AB61" i="5"/>
  <c r="AC61" i="5"/>
  <c r="AD61" i="5"/>
  <c r="AE61" i="5"/>
  <c r="AF61" i="5"/>
  <c r="W61" i="5"/>
  <c r="W57" i="5"/>
  <c r="X57" i="5"/>
  <c r="Y57" i="5"/>
  <c r="Z57" i="5"/>
  <c r="AA57" i="5"/>
  <c r="AB57" i="5"/>
  <c r="AC57" i="5"/>
  <c r="AD57" i="5"/>
  <c r="AE57" i="5"/>
  <c r="AF57" i="5"/>
  <c r="W58" i="5"/>
  <c r="X58" i="5"/>
  <c r="Y58" i="5"/>
  <c r="Z58" i="5"/>
  <c r="AA58" i="5"/>
  <c r="AB58" i="5"/>
  <c r="AC58" i="5"/>
  <c r="AD58" i="5"/>
  <c r="AE58" i="5"/>
  <c r="AF58" i="5"/>
  <c r="W59" i="5"/>
  <c r="X59" i="5"/>
  <c r="Y59" i="5"/>
  <c r="Z59" i="5"/>
  <c r="AA59" i="5"/>
  <c r="AB59" i="5"/>
  <c r="AC59" i="5"/>
  <c r="AD59" i="5"/>
  <c r="AE59" i="5"/>
  <c r="AF59" i="5"/>
  <c r="X56" i="5"/>
  <c r="Y56" i="5"/>
  <c r="Z56" i="5"/>
  <c r="AA56" i="5"/>
  <c r="AB56" i="5"/>
  <c r="AC56" i="5"/>
  <c r="AD56" i="5"/>
  <c r="AE56" i="5"/>
  <c r="AF56" i="5"/>
  <c r="W56" i="5"/>
  <c r="X44" i="5"/>
  <c r="Y44" i="5"/>
  <c r="Z44" i="5"/>
  <c r="AA44" i="5"/>
  <c r="AB44" i="5"/>
  <c r="AC44" i="5"/>
  <c r="AD44" i="5"/>
  <c r="AE44" i="5"/>
  <c r="AF44" i="5"/>
  <c r="X45" i="5"/>
  <c r="Y45" i="5"/>
  <c r="Z45" i="5"/>
  <c r="AA45" i="5"/>
  <c r="AB45" i="5"/>
  <c r="AC45" i="5"/>
  <c r="AD45" i="5"/>
  <c r="AE45" i="5"/>
  <c r="AF45" i="5"/>
  <c r="X46" i="5"/>
  <c r="Y46" i="5"/>
  <c r="Z46" i="5"/>
  <c r="AA46" i="5"/>
  <c r="AB46" i="5"/>
  <c r="AC46" i="5"/>
  <c r="AD46" i="5"/>
  <c r="AE46" i="5"/>
  <c r="AF46" i="5"/>
  <c r="X47" i="5"/>
  <c r="Y47" i="5"/>
  <c r="Z47" i="5"/>
  <c r="AA47" i="5"/>
  <c r="AB47" i="5"/>
  <c r="AC47" i="5"/>
  <c r="AD47" i="5"/>
  <c r="AE47" i="5"/>
  <c r="AF47" i="5"/>
  <c r="X48" i="5"/>
  <c r="Y48" i="5"/>
  <c r="Z48" i="5"/>
  <c r="AA48" i="5"/>
  <c r="AB48" i="5"/>
  <c r="AC48" i="5"/>
  <c r="AD48" i="5"/>
  <c r="AE48" i="5"/>
  <c r="AF48" i="5"/>
  <c r="X49" i="5"/>
  <c r="Y49" i="5"/>
  <c r="Z49" i="5"/>
  <c r="AA49" i="5"/>
  <c r="AB49" i="5"/>
  <c r="AC49" i="5"/>
  <c r="AD49" i="5"/>
  <c r="AE49" i="5"/>
  <c r="AF49" i="5"/>
  <c r="X50" i="5"/>
  <c r="Y50" i="5"/>
  <c r="Z50" i="5"/>
  <c r="AA50" i="5"/>
  <c r="AB50" i="5"/>
  <c r="AC50" i="5"/>
  <c r="AD50" i="5"/>
  <c r="AE50" i="5"/>
  <c r="AF50" i="5"/>
  <c r="X51" i="5"/>
  <c r="Y51" i="5"/>
  <c r="Z51" i="5"/>
  <c r="AA51" i="5"/>
  <c r="AB51" i="5"/>
  <c r="AC51" i="5"/>
  <c r="AD51" i="5"/>
  <c r="AE51" i="5"/>
  <c r="AF51" i="5"/>
  <c r="X52" i="5"/>
  <c r="Y52" i="5"/>
  <c r="Z52" i="5"/>
  <c r="AA52" i="5"/>
  <c r="AB52" i="5"/>
  <c r="AC52" i="5"/>
  <c r="AD52" i="5"/>
  <c r="AE52" i="5"/>
  <c r="AF52" i="5"/>
  <c r="X53" i="5"/>
  <c r="Y53" i="5"/>
  <c r="Z53" i="5"/>
  <c r="AA53" i="5"/>
  <c r="AB53" i="5"/>
  <c r="AC53" i="5"/>
  <c r="AD53" i="5"/>
  <c r="AE53" i="5"/>
  <c r="AF53" i="5"/>
  <c r="X54" i="5"/>
  <c r="Y54" i="5"/>
  <c r="Z54" i="5"/>
  <c r="AA54" i="5"/>
  <c r="AB54" i="5"/>
  <c r="AC54" i="5"/>
  <c r="AD54" i="5"/>
  <c r="AE54" i="5"/>
  <c r="AF54" i="5"/>
  <c r="X43" i="5"/>
  <c r="Y43" i="5"/>
  <c r="Z43" i="5"/>
  <c r="AA43" i="5"/>
  <c r="AB43" i="5"/>
  <c r="AC43" i="5"/>
  <c r="AD43" i="5"/>
  <c r="AE43" i="5"/>
  <c r="AF43" i="5"/>
  <c r="W43" i="5"/>
  <c r="AE116" i="5" l="1"/>
  <c r="K116" i="5" s="1"/>
  <c r="AE113" i="5"/>
  <c r="K113" i="5" s="1"/>
  <c r="AE115" i="5"/>
  <c r="K115" i="5" s="1"/>
  <c r="AE114" i="5"/>
  <c r="K114" i="5" s="1"/>
  <c r="AE117" i="5"/>
  <c r="K117" i="5" s="1"/>
  <c r="AE112" i="5"/>
  <c r="K112" i="5" s="1"/>
  <c r="AE111" i="5"/>
  <c r="K111" i="5" s="1"/>
  <c r="AE118" i="5"/>
  <c r="K118" i="5" s="1"/>
  <c r="Z117" i="5"/>
  <c r="F117" i="5" s="1"/>
  <c r="Z116" i="5"/>
  <c r="F116" i="5" s="1"/>
  <c r="Z115" i="5"/>
  <c r="F115" i="5" s="1"/>
  <c r="Z111" i="5"/>
  <c r="F111" i="5" s="1"/>
  <c r="Z112" i="5"/>
  <c r="F112" i="5" s="1"/>
  <c r="Z113" i="5"/>
  <c r="F113" i="5" s="1"/>
  <c r="Z114" i="5"/>
  <c r="F114" i="5" s="1"/>
  <c r="Z118" i="5"/>
  <c r="F118" i="5" s="1"/>
  <c r="Y117" i="5"/>
  <c r="E117" i="5" s="1"/>
  <c r="Y116" i="5"/>
  <c r="E116" i="5" s="1"/>
  <c r="Y115" i="5"/>
  <c r="E115" i="5" s="1"/>
  <c r="Y111" i="5"/>
  <c r="E111" i="5" s="1"/>
  <c r="Y112" i="5"/>
  <c r="E112" i="5" s="1"/>
  <c r="Y113" i="5"/>
  <c r="E113" i="5" s="1"/>
  <c r="Y114" i="5"/>
  <c r="E114" i="5" s="1"/>
  <c r="Y118" i="5"/>
  <c r="E118" i="5" s="1"/>
  <c r="AF118" i="5"/>
  <c r="AF116" i="5"/>
  <c r="L116" i="5" s="1"/>
  <c r="AF113" i="5"/>
  <c r="L113" i="5" s="1"/>
  <c r="AF115" i="5"/>
  <c r="L115" i="5" s="1"/>
  <c r="AF117" i="5"/>
  <c r="L117" i="5" s="1"/>
  <c r="AF112" i="5"/>
  <c r="L112" i="5" s="1"/>
  <c r="AF111" i="5"/>
  <c r="L111" i="5" s="1"/>
  <c r="AD115" i="5"/>
  <c r="J115" i="5" s="1"/>
  <c r="AD113" i="5"/>
  <c r="J113" i="5" s="1"/>
  <c r="AD114" i="5"/>
  <c r="J114" i="5" s="1"/>
  <c r="AD112" i="5"/>
  <c r="J112" i="5" s="1"/>
  <c r="AD117" i="5"/>
  <c r="J117" i="5" s="1"/>
  <c r="AD116" i="5"/>
  <c r="J116" i="5" s="1"/>
  <c r="AD111" i="5"/>
  <c r="J111" i="5" s="1"/>
  <c r="AD118" i="5"/>
  <c r="J118" i="5" s="1"/>
  <c r="AC117" i="5"/>
  <c r="I117" i="5" s="1"/>
  <c r="AC116" i="5"/>
  <c r="I116" i="5" s="1"/>
  <c r="AC115" i="5"/>
  <c r="I115" i="5" s="1"/>
  <c r="AC111" i="5"/>
  <c r="I111" i="5" s="1"/>
  <c r="AC112" i="5"/>
  <c r="I112" i="5" s="1"/>
  <c r="AC113" i="5"/>
  <c r="I113" i="5" s="1"/>
  <c r="AC114" i="5"/>
  <c r="I114" i="5" s="1"/>
  <c r="AC118" i="5"/>
  <c r="I118" i="5" s="1"/>
  <c r="AB116" i="5"/>
  <c r="H116" i="5" s="1"/>
  <c r="AB112" i="5"/>
  <c r="H112" i="5" s="1"/>
  <c r="AB117" i="5"/>
  <c r="H117" i="5" s="1"/>
  <c r="AB111" i="5"/>
  <c r="H111" i="5" s="1"/>
  <c r="AB114" i="5"/>
  <c r="H114" i="5" s="1"/>
  <c r="AB115" i="5"/>
  <c r="H115" i="5" s="1"/>
  <c r="AB113" i="5"/>
  <c r="H113" i="5" s="1"/>
  <c r="AB118" i="5"/>
  <c r="H118" i="5" s="1"/>
  <c r="AA117" i="5"/>
  <c r="G117" i="5" s="1"/>
  <c r="AA116" i="5"/>
  <c r="G116" i="5" s="1"/>
  <c r="AA115" i="5"/>
  <c r="G115" i="5" s="1"/>
  <c r="AA111" i="5"/>
  <c r="G111" i="5" s="1"/>
  <c r="AA112" i="5"/>
  <c r="G112" i="5" s="1"/>
  <c r="AA113" i="5"/>
  <c r="G113" i="5" s="1"/>
  <c r="AA114" i="5"/>
  <c r="G114" i="5" s="1"/>
  <c r="AA118" i="5"/>
  <c r="G118" i="5" s="1"/>
  <c r="X117" i="5"/>
  <c r="D117" i="5" s="1"/>
  <c r="X118" i="5"/>
  <c r="D118" i="5" s="1"/>
  <c r="X116" i="5"/>
  <c r="D116" i="5" s="1"/>
  <c r="X114" i="5"/>
  <c r="D114" i="5" s="1"/>
  <c r="X115" i="5"/>
  <c r="D115" i="5" s="1"/>
  <c r="X113" i="5"/>
  <c r="D113" i="5" s="1"/>
  <c r="X112" i="5"/>
  <c r="D112" i="5" s="1"/>
  <c r="X111" i="5"/>
  <c r="D111" i="5" s="1"/>
  <c r="AF114" i="5"/>
  <c r="L114" i="5" s="1"/>
  <c r="L118" i="5"/>
  <c r="AC24" i="5"/>
  <c r="I24" i="5" s="1"/>
  <c r="AB25" i="5"/>
  <c r="H25" i="5" s="1"/>
  <c r="AA25" i="5"/>
  <c r="G25" i="5" s="1"/>
  <c r="AB24" i="5"/>
  <c r="H24" i="5" s="1"/>
  <c r="AE26" i="5"/>
  <c r="K26" i="5" s="1"/>
  <c r="AF25" i="5"/>
  <c r="L25" i="5" s="1"/>
  <c r="Y24" i="5"/>
  <c r="E24" i="5" s="1"/>
  <c r="AD25" i="5"/>
  <c r="J25" i="5" s="1"/>
  <c r="AE22" i="5"/>
  <c r="K22" i="5" s="1"/>
  <c r="Y27" i="5"/>
  <c r="E27" i="5" s="1"/>
  <c r="AE25" i="5"/>
  <c r="K25" i="5" s="1"/>
  <c r="AC26" i="5"/>
  <c r="I26" i="5" s="1"/>
  <c r="AF27" i="5"/>
  <c r="L27" i="5" s="1"/>
  <c r="X27" i="5"/>
  <c r="D27" i="5" s="1"/>
  <c r="AD27" i="5"/>
  <c r="J27" i="5" s="1"/>
  <c r="AB28" i="5"/>
  <c r="H28" i="5" s="1"/>
  <c r="AE28" i="5"/>
  <c r="K28" i="5" s="1"/>
  <c r="AB22" i="5"/>
  <c r="H22" i="5" s="1"/>
  <c r="Y22" i="5"/>
  <c r="E22" i="5" s="1"/>
  <c r="Y23" i="5"/>
  <c r="E23" i="5" s="1"/>
  <c r="AE27" i="5"/>
  <c r="K27" i="5" s="1"/>
  <c r="AA28" i="5"/>
  <c r="G28" i="5" s="1"/>
  <c r="AF23" i="5"/>
  <c r="L23" i="5" s="1"/>
  <c r="X23" i="5"/>
  <c r="D23" i="5" s="1"/>
  <c r="X24" i="5"/>
  <c r="D24" i="5" s="1"/>
  <c r="AC25" i="5"/>
  <c r="I25" i="5" s="1"/>
  <c r="X25" i="5"/>
  <c r="D25" i="5" s="1"/>
  <c r="AB27" i="5"/>
  <c r="H27" i="5" s="1"/>
  <c r="AC28" i="5"/>
  <c r="I28" i="5" s="1"/>
  <c r="AD22" i="5"/>
  <c r="J22" i="5" s="1"/>
  <c r="AE23" i="5"/>
  <c r="K23" i="5" s="1"/>
  <c r="Y26" i="5"/>
  <c r="E26" i="5" s="1"/>
  <c r="AA27" i="5"/>
  <c r="G27" i="5" s="1"/>
  <c r="Y28" i="5"/>
  <c r="E28" i="5" s="1"/>
  <c r="AA24" i="5"/>
  <c r="G24" i="5" s="1"/>
  <c r="AA26" i="5"/>
  <c r="G26" i="5" s="1"/>
  <c r="AB26" i="5"/>
  <c r="H26" i="5" s="1"/>
  <c r="AC27" i="5"/>
  <c r="I27" i="5" s="1"/>
  <c r="AD28" i="5"/>
  <c r="J28" i="5" s="1"/>
  <c r="AD23" i="5"/>
  <c r="J23" i="5" s="1"/>
  <c r="AD24" i="5"/>
  <c r="J24" i="5" s="1"/>
  <c r="AF26" i="5"/>
  <c r="L26" i="5" s="1"/>
  <c r="X28" i="5"/>
  <c r="D28" i="5" s="1"/>
  <c r="Z28" i="5"/>
  <c r="F28" i="5" s="1"/>
  <c r="Z27" i="5"/>
  <c r="F27" i="5" s="1"/>
  <c r="Z26" i="5"/>
  <c r="F26" i="5" s="1"/>
  <c r="Z25" i="5"/>
  <c r="F25" i="5" s="1"/>
  <c r="Z24" i="5"/>
  <c r="F24" i="5" s="1"/>
  <c r="Z23" i="5"/>
  <c r="F23" i="5" s="1"/>
  <c r="Z22" i="5"/>
  <c r="F22" i="5" s="1"/>
  <c r="AF28" i="5"/>
  <c r="L28" i="5" s="1"/>
  <c r="AD26" i="5"/>
  <c r="J26" i="5" s="1"/>
  <c r="X26" i="5"/>
  <c r="D26" i="5" s="1"/>
  <c r="Y25" i="5"/>
  <c r="E25" i="5" s="1"/>
  <c r="AF24" i="5"/>
  <c r="L24" i="5" s="1"/>
  <c r="AE24" i="5"/>
  <c r="K24" i="5" s="1"/>
  <c r="AC23" i="5"/>
  <c r="I23" i="5" s="1"/>
  <c r="AB23" i="5"/>
  <c r="H23" i="5" s="1"/>
  <c r="AA23" i="5"/>
  <c r="G23" i="5" s="1"/>
  <c r="AA22" i="5"/>
  <c r="G22" i="5" s="1"/>
  <c r="AF22" i="5"/>
  <c r="X22" i="5"/>
  <c r="AC22" i="5"/>
  <c r="G9" i="11"/>
  <c r="D9" i="11"/>
  <c r="C9" i="11" s="1"/>
  <c r="G8" i="11"/>
  <c r="D8" i="11"/>
  <c r="E14" i="11" l="1"/>
  <c r="H14" i="11"/>
  <c r="Z11" i="5"/>
  <c r="F11" i="5" s="1"/>
  <c r="AD11" i="5"/>
  <c r="J11" i="5" s="1"/>
  <c r="X11" i="5"/>
  <c r="D11" i="5" s="1"/>
  <c r="Y11" i="5"/>
  <c r="E11" i="5" s="1"/>
  <c r="AF11" i="5"/>
  <c r="L11" i="5" s="1"/>
  <c r="AE11" i="5"/>
  <c r="K11" i="5" s="1"/>
  <c r="AC11" i="5"/>
  <c r="I11" i="5" s="1"/>
  <c r="AB11" i="5"/>
  <c r="H11" i="5" s="1"/>
  <c r="AA11" i="5"/>
  <c r="G11" i="5" s="1"/>
  <c r="L22" i="5"/>
  <c r="D22" i="5"/>
  <c r="I22" i="5"/>
  <c r="C8" i="11"/>
  <c r="C7" i="11" s="1"/>
  <c r="R12" i="5" l="1"/>
  <c r="H4" i="12"/>
  <c r="P138" i="5"/>
  <c r="Q138" i="5"/>
  <c r="C123" i="5" l="1"/>
  <c r="C122" i="5"/>
  <c r="U90" i="5" l="1"/>
  <c r="C137" i="5" l="1"/>
  <c r="C136" i="5"/>
  <c r="C135" i="5"/>
  <c r="C134" i="5"/>
  <c r="C133" i="5"/>
  <c r="C132" i="5"/>
  <c r="C131" i="5"/>
  <c r="C130" i="5"/>
  <c r="C129" i="5"/>
  <c r="C128" i="5"/>
  <c r="C127" i="5"/>
  <c r="C126" i="5"/>
  <c r="C125" i="5"/>
  <c r="C124" i="5"/>
  <c r="C121" i="5"/>
  <c r="W53" i="5" l="1"/>
  <c r="W50" i="5"/>
  <c r="W49" i="5" l="1"/>
  <c r="W68" i="5" l="1"/>
  <c r="W67" i="5"/>
  <c r="U88" i="5" l="1"/>
  <c r="W87" i="5" l="1"/>
  <c r="W91" i="5"/>
  <c r="W92" i="5"/>
  <c r="W90" i="5"/>
  <c r="W86" i="5"/>
  <c r="W89" i="5"/>
  <c r="W85" i="5"/>
  <c r="W84" i="5"/>
  <c r="W73" i="5"/>
  <c r="W74" i="5"/>
  <c r="W80" i="5"/>
  <c r="W81" i="5"/>
  <c r="W79" i="5"/>
  <c r="W54" i="5"/>
  <c r="W78" i="5"/>
  <c r="W75" i="5"/>
  <c r="W77" i="5"/>
  <c r="W62" i="5"/>
  <c r="W63" i="5"/>
  <c r="W88" i="5"/>
  <c r="W64" i="5"/>
  <c r="W72" i="5"/>
  <c r="W76" i="5"/>
  <c r="W101" i="5"/>
  <c r="W99" i="5"/>
  <c r="W98" i="5"/>
  <c r="W96" i="5"/>
  <c r="W97" i="5"/>
  <c r="W48" i="5"/>
  <c r="W69" i="5"/>
  <c r="W45" i="5"/>
  <c r="W47" i="5"/>
  <c r="W44" i="5"/>
  <c r="W46" i="5"/>
  <c r="W51" i="5"/>
  <c r="W52" i="5"/>
  <c r="W111" i="5" l="1" a="1"/>
  <c r="W111" i="5" s="1"/>
  <c r="C111" i="5" s="1"/>
  <c r="W117" i="5" a="1"/>
  <c r="W117" i="5" s="1"/>
  <c r="C117" i="5" s="1"/>
  <c r="W118" i="5" a="1"/>
  <c r="W118" i="5" s="1"/>
  <c r="C118" i="5" s="1"/>
  <c r="W116" i="5" a="1"/>
  <c r="W116" i="5" s="1"/>
  <c r="C116" i="5" s="1"/>
  <c r="W112" i="5" a="1"/>
  <c r="W112" i="5" s="1"/>
  <c r="C112" i="5" s="1"/>
  <c r="W114" i="5" a="1"/>
  <c r="W114" i="5" s="1"/>
  <c r="C114" i="5" s="1"/>
  <c r="W115" i="5" a="1"/>
  <c r="W115" i="5" s="1"/>
  <c r="C115" i="5" s="1"/>
  <c r="W113" i="5" a="1"/>
  <c r="W113" i="5" s="1"/>
  <c r="C113" i="5" s="1"/>
  <c r="E4" i="9"/>
  <c r="E5" i="9"/>
  <c r="E6" i="9"/>
  <c r="E3" i="9"/>
  <c r="U85" i="5"/>
  <c r="U89" i="5"/>
  <c r="U86" i="5"/>
  <c r="U92" i="5"/>
  <c r="U91" i="5"/>
  <c r="U87" i="5"/>
  <c r="U84" i="5"/>
  <c r="W22" i="5" l="1" a="1"/>
  <c r="W22" i="5" s="1"/>
  <c r="W26" i="5" a="1"/>
  <c r="W26" i="5" s="1"/>
  <c r="C26" i="5" s="1"/>
  <c r="W28" i="5" a="1"/>
  <c r="W28" i="5" s="1"/>
  <c r="C28" i="5" s="1"/>
  <c r="W25" i="5" a="1"/>
  <c r="W25" i="5" s="1"/>
  <c r="C25" i="5" s="1"/>
  <c r="W24" i="5" a="1"/>
  <c r="W24" i="5" s="1"/>
  <c r="C24" i="5" s="1"/>
  <c r="W23" i="5" a="1"/>
  <c r="W23" i="5" s="1"/>
  <c r="C23" i="5" s="1"/>
  <c r="W27" i="5" a="1"/>
  <c r="W27" i="5" s="1"/>
  <c r="C27" i="5" s="1"/>
  <c r="B42" i="5"/>
  <c r="C22" i="5" l="1"/>
  <c r="W11" i="5"/>
  <c r="C11" i="5" s="1"/>
  <c r="B2" i="2" l="1"/>
  <c r="B3" i="2" l="1"/>
  <c r="B4" i="2"/>
  <c r="B5" i="2"/>
  <c r="E71" i="2" l="1"/>
  <c r="G71" i="2" s="1"/>
  <c r="E70" i="2"/>
  <c r="G70" i="2" s="1"/>
  <c r="E69" i="2"/>
  <c r="G69" i="2" s="1"/>
  <c r="E68" i="2"/>
  <c r="G68" i="2" s="1"/>
  <c r="E67" i="2"/>
  <c r="G67" i="2" s="1"/>
  <c r="E64" i="2"/>
  <c r="G64" i="2" s="1"/>
  <c r="E63" i="2"/>
  <c r="G63" i="2" s="1"/>
  <c r="E62" i="2"/>
  <c r="G62" i="2" s="1"/>
  <c r="E61" i="2"/>
  <c r="G61" i="2" s="1"/>
  <c r="E60" i="2"/>
  <c r="G60" i="2" s="1"/>
  <c r="E59" i="2"/>
  <c r="G59" i="2" s="1"/>
  <c r="E56" i="2"/>
  <c r="G56" i="2" s="1"/>
  <c r="E55" i="2"/>
  <c r="G55" i="2" s="1"/>
  <c r="E54" i="2"/>
  <c r="G54" i="2" s="1"/>
  <c r="E53" i="2"/>
  <c r="G53" i="2" s="1"/>
  <c r="E52" i="2"/>
  <c r="G52" i="2" s="1"/>
  <c r="E51" i="2"/>
  <c r="G51" i="2" s="1"/>
  <c r="E50" i="2"/>
  <c r="G50" i="2" s="1"/>
  <c r="E49" i="2"/>
  <c r="G49" i="2" s="1"/>
  <c r="E48" i="2"/>
  <c r="G48" i="2" s="1"/>
  <c r="E47" i="2"/>
  <c r="G47" i="2" s="1"/>
  <c r="E46" i="2"/>
  <c r="G46" i="2" s="1"/>
  <c r="E45" i="2"/>
  <c r="G45" i="2" s="1"/>
  <c r="E44" i="2"/>
  <c r="G44" i="2" s="1"/>
  <c r="E43" i="2"/>
  <c r="G43" i="2" s="1"/>
  <c r="E42" i="2"/>
  <c r="G42" i="2" s="1"/>
  <c r="E41" i="2"/>
  <c r="G41" i="2" s="1"/>
  <c r="E40" i="2"/>
  <c r="G40" i="2" s="1"/>
  <c r="E39" i="2"/>
  <c r="G39" i="2" s="1"/>
  <c r="E38" i="2"/>
  <c r="G38" i="2" s="1"/>
  <c r="E37" i="2"/>
  <c r="G37" i="2" s="1"/>
  <c r="E36" i="2"/>
  <c r="G36" i="2" s="1"/>
  <c r="E35" i="2"/>
  <c r="G35" i="2" s="1"/>
  <c r="E32" i="2"/>
  <c r="G32" i="2" s="1"/>
  <c r="E31" i="2"/>
  <c r="G31" i="2" s="1"/>
  <c r="E30" i="2"/>
  <c r="G30" i="2" s="1"/>
  <c r="E29" i="2"/>
  <c r="G29" i="2" s="1"/>
  <c r="E28" i="2"/>
  <c r="G28" i="2" s="1"/>
  <c r="E27" i="2"/>
  <c r="G27" i="2" s="1"/>
  <c r="E26" i="2"/>
  <c r="G26" i="2" s="1"/>
  <c r="E25" i="2"/>
  <c r="G25" i="2" s="1"/>
  <c r="E24" i="2"/>
  <c r="G24" i="2" s="1"/>
  <c r="E23" i="2"/>
  <c r="G23" i="2" s="1"/>
  <c r="E22" i="2"/>
  <c r="G22" i="2" s="1"/>
  <c r="E21" i="2"/>
  <c r="G21" i="2" s="1"/>
  <c r="E13" i="2"/>
  <c r="E14" i="2"/>
  <c r="E15" i="2"/>
  <c r="E16" i="2"/>
  <c r="E17" i="2"/>
  <c r="E18" i="2"/>
  <c r="G13" i="2" l="1"/>
  <c r="G14" i="2"/>
  <c r="G15" i="2"/>
  <c r="G16" i="2"/>
  <c r="G17" i="2"/>
  <c r="G18" i="2"/>
  <c r="E12" i="2"/>
  <c r="G12" i="2" s="1"/>
  <c r="F51" i="2" l="1"/>
  <c r="F44" i="2"/>
  <c r="F42" i="2"/>
  <c r="F53" i="2"/>
  <c r="F41" i="2"/>
  <c r="G72" i="2" l="1"/>
  <c r="G65" i="2"/>
  <c r="G57" i="2"/>
  <c r="G33" i="2"/>
  <c r="G19" i="2"/>
  <c r="F17" i="2"/>
  <c r="G93" i="7" l="1"/>
  <c r="F93" i="7"/>
  <c r="F68" i="2" l="1"/>
  <c r="F69" i="2"/>
  <c r="F70" i="2"/>
  <c r="F71" i="2"/>
  <c r="F67" i="2"/>
  <c r="F60" i="2"/>
  <c r="F61" i="2"/>
  <c r="F62" i="2"/>
  <c r="F63" i="2"/>
  <c r="F64" i="2"/>
  <c r="F59" i="2"/>
  <c r="F56" i="2"/>
  <c r="F55" i="2"/>
  <c r="F54" i="2"/>
  <c r="F52" i="2"/>
  <c r="F50" i="2"/>
  <c r="F49" i="2"/>
  <c r="F48" i="2"/>
  <c r="F47" i="2"/>
  <c r="F46" i="2"/>
  <c r="F45" i="2"/>
  <c r="F43" i="2"/>
  <c r="F40" i="2"/>
  <c r="F39" i="2"/>
  <c r="F38" i="2"/>
  <c r="F37" i="2"/>
  <c r="F36" i="2"/>
  <c r="F35" i="2"/>
  <c r="F22" i="2"/>
  <c r="F23" i="2"/>
  <c r="F24" i="2"/>
  <c r="F25" i="2"/>
  <c r="F26" i="2"/>
  <c r="F27" i="2"/>
  <c r="F28" i="2"/>
  <c r="F29" i="2"/>
  <c r="F30" i="2"/>
  <c r="F31" i="2"/>
  <c r="F32" i="2"/>
  <c r="F21" i="2"/>
  <c r="F13" i="2"/>
  <c r="F14" i="2"/>
  <c r="F15" i="2"/>
  <c r="F16" i="2"/>
  <c r="F18" i="2"/>
  <c r="F12" i="2"/>
  <c r="F7" i="2"/>
  <c r="F6" i="2"/>
  <c r="F5" i="2"/>
  <c r="F4" i="2"/>
  <c r="F3" i="2"/>
  <c r="F8" i="2" l="1"/>
  <c r="F72" i="2"/>
  <c r="E7" i="2" s="1"/>
  <c r="G7" i="2" s="1"/>
  <c r="F65" i="2"/>
  <c r="E6" i="2" s="1"/>
  <c r="G6" i="2" s="1"/>
  <c r="F57" i="2"/>
  <c r="E5" i="2" s="1"/>
  <c r="G5" i="2" s="1"/>
  <c r="F33" i="2"/>
  <c r="E4" i="2" s="1"/>
  <c r="G4" i="2" s="1"/>
  <c r="F19" i="2"/>
  <c r="E3" i="2" s="1"/>
  <c r="G3" i="2" s="1"/>
  <c r="E8" i="2" l="1"/>
  <c r="G8" i="2" s="1"/>
</calcChain>
</file>

<file path=xl/comments1.xml><?xml version="1.0" encoding="utf-8"?>
<comments xmlns="http://schemas.openxmlformats.org/spreadsheetml/2006/main">
  <authors>
    <author>DOUARD Nicolas</author>
    <author>CLAYTON Kevin</author>
    <author>PAVSIC Sylvie</author>
  </authors>
  <commentList>
    <comment ref="R11" authorId="0" shapeId="0">
      <text>
        <r>
          <rPr>
            <b/>
            <sz val="9"/>
            <color indexed="81"/>
            <rFont val="Tahoma"/>
            <family val="2"/>
          </rPr>
          <t>Add the "Object Id" to the hyperlink
Replace the XXXX by the project's name
Note: "Object Id" can be found in the Customer Card of the project</t>
        </r>
      </text>
    </comment>
    <comment ref="N35" authorId="0" shapeId="0">
      <text>
        <r>
          <rPr>
            <b/>
            <sz val="9"/>
            <color indexed="81"/>
            <rFont val="Tahoma"/>
            <family val="2"/>
          </rPr>
          <t>Edit Hyperlink
Complete Business Unit number
Complete Proposal ID number</t>
        </r>
      </text>
    </comment>
    <comment ref="W110" authorId="1" shapeId="0">
      <text>
        <r>
          <rPr>
            <b/>
            <sz val="12"/>
            <color indexed="81"/>
            <rFont val="Tahoma"/>
            <family val="2"/>
          </rPr>
          <t xml:space="preserve">Array Formulas
</t>
        </r>
        <r>
          <rPr>
            <sz val="12"/>
            <color indexed="81"/>
            <rFont val="Tahoma"/>
            <family val="2"/>
          </rPr>
          <t xml:space="preserve">
Use: Ctl-Sh-Enter</t>
        </r>
      </text>
    </comment>
    <comment ref="P120" authorId="2" shapeId="0">
      <text>
        <r>
          <rPr>
            <b/>
            <sz val="9"/>
            <color indexed="81"/>
            <rFont val="Tahoma"/>
            <family val="2"/>
          </rPr>
          <t xml:space="preserve">encountered during execution
</t>
        </r>
      </text>
    </comment>
  </commentList>
</comments>
</file>

<file path=xl/comments2.xml><?xml version="1.0" encoding="utf-8"?>
<comments xmlns="http://schemas.openxmlformats.org/spreadsheetml/2006/main">
  <authors>
    <author>PAVSIC Sylvie</author>
  </authors>
  <commentList>
    <comment ref="E31" authorId="0" shapeId="0">
      <text>
        <r>
          <rPr>
            <b/>
            <sz val="9"/>
            <color indexed="81"/>
            <rFont val="Tahoma"/>
            <family val="2"/>
          </rPr>
          <t xml:space="preserve">encountered during execution
</t>
        </r>
      </text>
    </comment>
  </commentList>
</comments>
</file>

<file path=xl/comments3.xml><?xml version="1.0" encoding="utf-8"?>
<comments xmlns="http://schemas.openxmlformats.org/spreadsheetml/2006/main">
  <authors>
    <author>PAVSIC Sylvie</author>
  </authors>
  <commentList>
    <comment ref="S2" authorId="0" shapeId="0">
      <text>
        <r>
          <rPr>
            <b/>
            <sz val="9"/>
            <color indexed="81"/>
            <rFont val="Tahoma"/>
            <family val="2"/>
          </rPr>
          <t xml:space="preserve">encountered during execution
</t>
        </r>
      </text>
    </comment>
  </commentList>
</comments>
</file>

<file path=xl/sharedStrings.xml><?xml version="1.0" encoding="utf-8"?>
<sst xmlns="http://schemas.openxmlformats.org/spreadsheetml/2006/main" count="6618" uniqueCount="588">
  <si>
    <t>Agreement (SOW)</t>
  </si>
  <si>
    <t>Sample SOW template from Transition Factory / Data group</t>
  </si>
  <si>
    <t>Configuration Matrix</t>
  </si>
  <si>
    <t>Deployment Assurance Checklist</t>
  </si>
  <si>
    <t>Project Charter</t>
  </si>
  <si>
    <t>Project Charter Template</t>
  </si>
  <si>
    <t>Risk Assessment</t>
  </si>
  <si>
    <t>Stakeholder Lists</t>
  </si>
  <si>
    <t>Cost Model (Project Budget)</t>
  </si>
  <si>
    <t>Issue Logs</t>
  </si>
  <si>
    <t>Action and Issue Log Issue Management Template</t>
  </si>
  <si>
    <t>Project Governance</t>
  </si>
  <si>
    <t>NAM_Importance of Program Governance_Example</t>
  </si>
  <si>
    <t>Project Management Plan</t>
  </si>
  <si>
    <t>Project Plan</t>
  </si>
  <si>
    <t>Project Plan - Customer1_Example</t>
  </si>
  <si>
    <t>Quality Plan</t>
  </si>
  <si>
    <t>RACSI Chart</t>
  </si>
  <si>
    <t>NAM_RACI Chart Example</t>
  </si>
  <si>
    <t>Resource Request Form</t>
  </si>
  <si>
    <t xml:space="preserve">Resource Request Form for NAM
For EMEA, use the link below:
http://emea.dscollaboration.ds/sites/Weekly-DATA-Dashboard/FORECAST/Shared%20Documents/Forms/AllItems.aspx
</t>
  </si>
  <si>
    <t>Risk Assessment (Risk Management Plan)</t>
  </si>
  <si>
    <t>Risk Management Sample for all types of implementations, in PPTX.</t>
  </si>
  <si>
    <t>Risk List</t>
  </si>
  <si>
    <t>Risk List Template for EMEA</t>
  </si>
  <si>
    <t>As-Is Process</t>
  </si>
  <si>
    <t>This is a sample presentation of As Is &amp; To Be Processes</t>
  </si>
  <si>
    <t>Business Requirements</t>
  </si>
  <si>
    <t>NAM_Requirements Gathering_Example.xlsx</t>
  </si>
  <si>
    <t>Configuration Analysis Report</t>
  </si>
  <si>
    <t>Configuration Analysis Workshop Sample for all types of implementations, in PPTX.</t>
  </si>
  <si>
    <t>Data Migration Plan</t>
  </si>
  <si>
    <t>Education Plan</t>
  </si>
  <si>
    <t>Infrastructure Assessment</t>
  </si>
  <si>
    <t xml:space="preserve">(in Excel Format)Sample Customer 1 - V6R2013 Infrastructure Recommendation </t>
  </si>
  <si>
    <t>Infrastructure Plan</t>
  </si>
  <si>
    <t>Sample Infrastructure Plan for customer 3</t>
  </si>
  <si>
    <t>Technical Specifications</t>
  </si>
  <si>
    <t>Sample Technical Specificaiton</t>
  </si>
  <si>
    <t>Test Plan</t>
  </si>
  <si>
    <t>Test Strategy</t>
  </si>
  <si>
    <t>Test Strategy Template</t>
  </si>
  <si>
    <t>To-Be Process</t>
  </si>
  <si>
    <t>Visio verion of Sample To-Be Process diagram</t>
  </si>
  <si>
    <t>Upgrade Assessment</t>
  </si>
  <si>
    <t>ENOVIA Upgrade Best Practices V1</t>
  </si>
  <si>
    <t>Functional Specification</t>
  </si>
  <si>
    <t>Sample Functional Specification</t>
  </si>
  <si>
    <t>Functional Test Plan</t>
  </si>
  <si>
    <t>Functional Test Plan Template</t>
  </si>
  <si>
    <t>Unit Test Plan</t>
  </si>
  <si>
    <t>Unit Test Plan - Template</t>
  </si>
  <si>
    <t>Defect Report</t>
  </si>
  <si>
    <t xml:space="preserve">Issue Mgt - Metrics and Dashboards - Example </t>
  </si>
  <si>
    <t>Delivery Acceptance/Confirmation</t>
  </si>
  <si>
    <t>Customer Acceptance Report</t>
  </si>
  <si>
    <t>Transition Plan</t>
  </si>
  <si>
    <t>Project Monitoring</t>
  </si>
  <si>
    <t>Change Control</t>
  </si>
  <si>
    <t>NAM_Change_Management_Plan_Example</t>
  </si>
  <si>
    <t>Project Progress Report</t>
  </si>
  <si>
    <t>NAM _Project Financial Report_Template for all types of implementations, in XLS.</t>
  </si>
  <si>
    <t>Test Reports</t>
  </si>
  <si>
    <t>Gates</t>
  </si>
  <si>
    <t>Minimum Required Documents for exiting the Gate</t>
  </si>
  <si>
    <t>Reference Documents in 3DEXPERIENCE Project Book</t>
  </si>
  <si>
    <t>Customer_OppyId_ProjectName_Risk assmt_V2.0_Template</t>
  </si>
  <si>
    <t>Stakeholder List_Template</t>
  </si>
  <si>
    <t>Configuration_Matrix_V2.1_Template</t>
  </si>
  <si>
    <t>EMEA Project Budget_Template</t>
  </si>
  <si>
    <t>Project Quality Plan_Template</t>
  </si>
  <si>
    <t>Data Migration Plan_Example</t>
  </si>
  <si>
    <t>Education and Training Plan_Template 1</t>
  </si>
  <si>
    <t>Test Plan_Customer_Example</t>
  </si>
  <si>
    <t>Systems and Environment</t>
  </si>
  <si>
    <t>Architecture Documents</t>
  </si>
  <si>
    <t>PCS Plan</t>
  </si>
  <si>
    <t>Interface Diagram</t>
  </si>
  <si>
    <t>EMEA_Acceptance_sheet_Template</t>
  </si>
  <si>
    <t>Solution Package</t>
  </si>
  <si>
    <t>Release_Note_Template</t>
  </si>
  <si>
    <t>Transition Plan checklist_Template</t>
  </si>
  <si>
    <t>Test Progess Report_Example</t>
  </si>
  <si>
    <t>Data Validation Report</t>
  </si>
  <si>
    <t>Candidate for next version</t>
  </si>
  <si>
    <t>Questions</t>
  </si>
  <si>
    <t>Answers</t>
  </si>
  <si>
    <t>G1</t>
  </si>
  <si>
    <t>G2</t>
  </si>
  <si>
    <t>G3</t>
  </si>
  <si>
    <t>G4</t>
  </si>
  <si>
    <t>G5</t>
  </si>
  <si>
    <t>G6</t>
  </si>
  <si>
    <t xml:space="preserve">G7 </t>
  </si>
  <si>
    <t>Do you have a stakeholder list?</t>
  </si>
  <si>
    <t>Customer Name</t>
  </si>
  <si>
    <t>Project name</t>
  </si>
  <si>
    <t>Performed by</t>
  </si>
  <si>
    <t>Did you complete a resource request form?</t>
  </si>
  <si>
    <t>Do you have a risk management plan?</t>
  </si>
  <si>
    <t>Did you map the customer business requirements?</t>
  </si>
  <si>
    <t>Do you have configuration analysis report?</t>
  </si>
  <si>
    <t>Do you have a data migration plan?</t>
  </si>
  <si>
    <t>Did you assess the infrastructure and document it?</t>
  </si>
  <si>
    <t>Do you have an infrastructure plan?</t>
  </si>
  <si>
    <t>Did you formalize the test strategy?</t>
  </si>
  <si>
    <t>Do you have a functional test plan?</t>
  </si>
  <si>
    <t>Did you formalize functional specifications?</t>
  </si>
  <si>
    <t>Do you have a test plan?</t>
  </si>
  <si>
    <t>Do you have a unit test plan?</t>
  </si>
  <si>
    <t>Did you formalize an interface diagram?</t>
  </si>
  <si>
    <t>Did you assess systems and environment?</t>
  </si>
  <si>
    <t>Do you have architecture documents up to date?</t>
  </si>
  <si>
    <t>Do you have defect report?</t>
  </si>
  <si>
    <t>Did you use solution package?</t>
  </si>
  <si>
    <t>Do you have a customer acceptance report?</t>
  </si>
  <si>
    <t>Do you have a transition plan?</t>
  </si>
  <si>
    <t>Do you have a data validation report?</t>
  </si>
  <si>
    <t>YES</t>
  </si>
  <si>
    <t>Did you formalize delivery acceptance/confirmation with your customer?</t>
  </si>
  <si>
    <t>Do you have an educational and training plan?</t>
  </si>
  <si>
    <t>Did you perform an upgrade assessment?</t>
  </si>
  <si>
    <t>Did you perform a risk assessment  at the beginning of the project?</t>
  </si>
  <si>
    <t>Did you perform an assessment of the project compared to SOW/Proposal?</t>
  </si>
  <si>
    <t>Did you have a project budget and workload plan up to date?</t>
  </si>
  <si>
    <t>Did you put in place a test progress report?</t>
  </si>
  <si>
    <t>Did you formalize the project governance (roles/meetings/escalation path/minutes)?</t>
  </si>
  <si>
    <t>Do you formalize minutes for each project meeting?</t>
  </si>
  <si>
    <t>Do you have a project management plan (communicated to the project team)?</t>
  </si>
  <si>
    <t>No</t>
  </si>
  <si>
    <t>Do you have a project charter?</t>
  </si>
  <si>
    <t>Project Review Comment</t>
  </si>
  <si>
    <t>INITIATION</t>
  </si>
  <si>
    <t>MONITORING &amp; CONTROLLING</t>
  </si>
  <si>
    <t>PLANNING</t>
  </si>
  <si>
    <t>EXECUTING</t>
  </si>
  <si>
    <t>CLOSING</t>
  </si>
  <si>
    <t>Do you control costs and monitor the project through project financial report (project budget, planned/actual/forecasts)?</t>
  </si>
  <si>
    <t>Do you control and monitor the project risk /mitigation plan with an up to date list shared with the customer?</t>
  </si>
  <si>
    <t>Do you report performance weekly in DSxClient program project status (KPI, alerts, highlights)?</t>
  </si>
  <si>
    <t>Do you control and monitor schedule with up to date (shared with the customer) with activities/milestones/critical paths ?</t>
  </si>
  <si>
    <t>Do you verify and control Scope through change control log ?</t>
  </si>
  <si>
    <t>TOTAL</t>
  </si>
  <si>
    <t>MAX</t>
  </si>
  <si>
    <t>Is it mandatory? (Yes or No)</t>
  </si>
  <si>
    <t>Date</t>
  </si>
  <si>
    <t>Weight (Mandatory = 5, Other = 2, N/A = 0)</t>
  </si>
  <si>
    <t>Legend</t>
  </si>
  <si>
    <t>COMPLETION</t>
  </si>
  <si>
    <t>MAX  POSSIBLE</t>
  </si>
  <si>
    <t>%</t>
  </si>
  <si>
    <t>Project 
Completion</t>
  </si>
  <si>
    <t>Non applicable for the project (at this stage) : Put 0/0/0</t>
  </si>
  <si>
    <t xml:space="preserve">Document/ Link </t>
  </si>
  <si>
    <t>SCOPE</t>
  </si>
  <si>
    <t>SCHEDULE</t>
  </si>
  <si>
    <t>BUDGET</t>
  </si>
  <si>
    <t>Do you have a defined scope?</t>
  </si>
  <si>
    <t>A</t>
  </si>
  <si>
    <t>B</t>
  </si>
  <si>
    <t>C</t>
  </si>
  <si>
    <t>D</t>
  </si>
  <si>
    <t>Project Review Date</t>
  </si>
  <si>
    <t>Participants</t>
  </si>
  <si>
    <t>PMO ASSESSMENT BY DOMAIN</t>
  </si>
  <si>
    <t>Legend for grade</t>
  </si>
  <si>
    <t>The project is on track (well managed and controlled).</t>
  </si>
  <si>
    <t>Project manager</t>
  </si>
  <si>
    <t>Project Manager</t>
  </si>
  <si>
    <t>Project is compliant with PM guidelines.</t>
  </si>
  <si>
    <t>Project is compliant but needs to progress to be fully compliant</t>
  </si>
  <si>
    <t>Project is not compliant with PM guidelines and needs immediate actions to be launched</t>
  </si>
  <si>
    <t>Project is not following PM guidelines and needs urgent recovery plan to address all issues identified by project review</t>
  </si>
  <si>
    <t>PROJECT OVERALL STATUS</t>
  </si>
  <si>
    <t>PROJECT KEY FACTS</t>
  </si>
  <si>
    <t>COMMUNICATION</t>
  </si>
  <si>
    <t>Owner</t>
  </si>
  <si>
    <t>DESCRIPTION (Scope, objectives)</t>
  </si>
  <si>
    <t>KEY MILESTONES (Gates, Go Live)</t>
  </si>
  <si>
    <t>Due Date</t>
  </si>
  <si>
    <t>Comment</t>
  </si>
  <si>
    <t>DOMAIN</t>
  </si>
  <si>
    <t>Action Plan</t>
  </si>
  <si>
    <t>Do you have a Special Service Offer (SSO)</t>
  </si>
  <si>
    <t xml:space="preserve">Do you have a BT/Tech sales/DSIS Sales presentation </t>
  </si>
  <si>
    <t>Do you have an Action &amp; Issue log (with actions/owner/due date)?</t>
  </si>
  <si>
    <t>Do you have a Project Schedule/Master Schedule up to date (shared with the customer) with activities/milestones/critical paths ?</t>
  </si>
  <si>
    <t>Do you have a Project Quality Plan?</t>
  </si>
  <si>
    <t>Do you have a Project Organization documented including the RACSI for the project?</t>
  </si>
  <si>
    <t>Do you have a resource Workload Plan?</t>
  </si>
  <si>
    <t>Did you formalize the AS-IS &amp; TO BE process?</t>
  </si>
  <si>
    <t>Do you have a Requirement Traceability Matrix?</t>
  </si>
  <si>
    <t>Did you document an Implementation Best Practices?</t>
  </si>
  <si>
    <t>Did you document Lessons Learned?</t>
  </si>
  <si>
    <t>Minimum Required Documents for exiting the Gate
"most of the project, most of the time"</t>
  </si>
  <si>
    <t>G1 Project Launched</t>
  </si>
  <si>
    <t>Statement Of Work (SOW), Contract</t>
  </si>
  <si>
    <t>G2 Project Management Plan Approved</t>
  </si>
  <si>
    <t>Project Budget</t>
  </si>
  <si>
    <t>Action &amp; Issue Logs</t>
  </si>
  <si>
    <t>Project Schedule</t>
  </si>
  <si>
    <t>Resource Workload Plan</t>
  </si>
  <si>
    <t>G3 Solution Defined</t>
  </si>
  <si>
    <t>Requirement Traceability Matrix</t>
  </si>
  <si>
    <t>G4 Solution Design Approved</t>
  </si>
  <si>
    <t>Test Plan (from integration to end test)</t>
  </si>
  <si>
    <t>G5 Solution Delivered</t>
  </si>
  <si>
    <t>Change Control Procedure</t>
  </si>
  <si>
    <t>Project Report Performance</t>
  </si>
  <si>
    <t>Risk Register</t>
  </si>
  <si>
    <t>G6 Solution Approved</t>
  </si>
  <si>
    <t>No.</t>
  </si>
  <si>
    <t>Mandatory for all projects</t>
  </si>
  <si>
    <t>PM Docs</t>
  </si>
  <si>
    <t>Technical Docs</t>
  </si>
  <si>
    <t>INITIATING</t>
  </si>
  <si>
    <t>Yes</t>
  </si>
  <si>
    <t>Template for Technical Assessment - SOW under signed MSA with DSSLLC</t>
  </si>
  <si>
    <t>Template for Upgrade Assessment SOW under signed MSA with DSSLLC</t>
  </si>
  <si>
    <t>NAM Project Budget_Cost Estimation_Template: monthly template for small to medium size implementations.</t>
  </si>
  <si>
    <t>NAM_Project Cost Estimation Large Project Example (i.e. filled with some data) for large implementations in Excel.</t>
  </si>
  <si>
    <t>NAM_Project Cost Estimation Large Project Example.pptx (i.e. filled with some data) for large implementations in PPTX.</t>
  </si>
  <si>
    <t>NAM_Importance of Project Governance_Example</t>
  </si>
  <si>
    <t>NAM_Project Governance Framework-V1_Example</t>
  </si>
  <si>
    <t>Project Schedule (WBS)</t>
  </si>
  <si>
    <t>Project Plan (WBS) based on PERFORM_Example, in MS Project format.</t>
  </si>
  <si>
    <t>Project Plan_General_Example</t>
  </si>
  <si>
    <t>RACI Chart Template for all types of implementations.</t>
  </si>
  <si>
    <t>Risk Management Template for all types of implementations, in XLSX</t>
  </si>
  <si>
    <t>Requirements Specification with High Level Outline only</t>
  </si>
  <si>
    <t>Template to Map customer requirements vs DS Portfolio products</t>
  </si>
  <si>
    <t>Training materials for using DSX CP to management Business Requirements</t>
  </si>
  <si>
    <t>Configuration Analysis Workshop Template for all types of implementations.</t>
  </si>
  <si>
    <t xml:space="preserve">This is customer survey doc for SmarTeam to Enovia V6 migration planning </t>
  </si>
  <si>
    <t>Education and Training Plan_Template 2</t>
  </si>
  <si>
    <t>Excel version of Master WBS template for Education Plan</t>
  </si>
  <si>
    <t>Sample Education Plan in Section 3.13 in this document</t>
  </si>
  <si>
    <t>Sample list of 157 Business skills for Education Plan</t>
  </si>
  <si>
    <t>Questionnaire to customers to collect requirements data for Infrastructure Assessment</t>
  </si>
  <si>
    <t>Sample Customer 1 - Infrastructure Recommendation V6R2013</t>
  </si>
  <si>
    <t>Sample Customer 2 Infrastructure Assessment V6R2012x</t>
  </si>
  <si>
    <t>Sample Infrastructure Survey for Infrastructure Assessment (with sample answers)</t>
  </si>
  <si>
    <t>V6R2012x Infrastructure Recommendation Sample</t>
  </si>
  <si>
    <t>Sample Infrastructure Plan from customer 2</t>
  </si>
  <si>
    <t>ENOVIA Upgrade Execution Proposal template</t>
  </si>
  <si>
    <t>ENOVIA Upgrade Factory Sales Presentation</t>
  </si>
  <si>
    <t>Excel version of Upgrade Technical Assessment Example</t>
  </si>
  <si>
    <t xml:space="preserve">MSFT Project Plan verison of Sample Upgrade Project Plan Template </t>
  </si>
  <si>
    <t>Upgrade Assessment Report Template</t>
  </si>
  <si>
    <t>Upgrade Factory Customer Survey-Template_V4.0</t>
  </si>
  <si>
    <t>Visio version of DS Upgrade Execution Flowchart v2 0312</t>
  </si>
  <si>
    <t>Acceptance Test Plan_Template</t>
  </si>
  <si>
    <t>Test plan_Template 2</t>
  </si>
  <si>
    <t>G7 Project Closed</t>
  </si>
  <si>
    <t>Implementation Best Practices</t>
  </si>
  <si>
    <t>Implementation_Best Practices_internal_template</t>
  </si>
  <si>
    <t>NAM_ChangeControlBoardJusticationForm_Example</t>
  </si>
  <si>
    <t>NAM_Project Change Control Process_Document</t>
  </si>
  <si>
    <t>NAM_Project Scope Management_Example</t>
  </si>
  <si>
    <t>NAM _Project Progress Report_Example (filled with some data) for all types of implementations.</t>
  </si>
  <si>
    <t>Project Progress Status Template for all types of implementations, in Word format.</t>
  </si>
  <si>
    <t>KPI Project progress indicator_Template. This document allow PM to describe the task to be covered and to track the progrees</t>
  </si>
  <si>
    <t>Test progress indicator to manage link between Business Requirement and Test cases</t>
  </si>
  <si>
    <t>70-100%</t>
  </si>
  <si>
    <t>50-69%</t>
  </si>
  <si>
    <t>26-49%</t>
  </si>
  <si>
    <t>0-25%</t>
  </si>
  <si>
    <t>do you have a PCS (Performance, Capacity and Scalability ) plan?</t>
  </si>
  <si>
    <t xml:space="preserve">Howard Lin, Rahul SURYADEVARA </t>
  </si>
  <si>
    <t xml:space="preserve">PMO -  PROJECT REVIEW </t>
  </si>
  <si>
    <t>Do you have a formal signed agreement SOW and PO with the Customer?</t>
  </si>
  <si>
    <t>Docs needed</t>
  </si>
  <si>
    <t>project charter needs to have the business case;</t>
  </si>
  <si>
    <t>Did you formalize technical specifications?</t>
  </si>
  <si>
    <t>Sample Technical Specification</t>
  </si>
  <si>
    <t>Test Progress Report_Example</t>
  </si>
  <si>
    <t>v</t>
  </si>
  <si>
    <t>V</t>
  </si>
  <si>
    <t>0 = No
2 = Partially (Exist but not in DSX CP)
5 = Yes (in DSX CP)</t>
  </si>
  <si>
    <t>Legend for financial data grade</t>
  </si>
  <si>
    <t>&gt;  or = 0% in delta</t>
  </si>
  <si>
    <t>Greater than -10% in delta</t>
  </si>
  <si>
    <t>QUALITY ASSURANCE ON PROJECT CAPITALIZATION</t>
  </si>
  <si>
    <t>Review Date</t>
  </si>
  <si>
    <t>Performed by WW Engagement Quality Member</t>
  </si>
  <si>
    <t>% Project Compliancy</t>
  </si>
  <si>
    <t>Total Mandatory documents  Stored under DS</t>
  </si>
  <si>
    <t>Maximum documents at the Gates</t>
  </si>
  <si>
    <t>GATES</t>
  </si>
  <si>
    <t xml:space="preserve">MANDATORY DOCUMENTS </t>
  </si>
  <si>
    <t>COMMENT</t>
  </si>
  <si>
    <t>Project Master Schedule</t>
  </si>
  <si>
    <t>Project Change Request</t>
  </si>
  <si>
    <t>System Integration Test Plan</t>
  </si>
  <si>
    <t>Solution Source Code</t>
  </si>
  <si>
    <t xml:space="preserve">Solution Build </t>
  </si>
  <si>
    <t>PERFORM METHODOLOGY - GATES</t>
  </si>
  <si>
    <t>[&gt;80%-100%]</t>
  </si>
  <si>
    <t>Project  compliant</t>
  </si>
  <si>
    <t>Project in progress to be compliant</t>
  </si>
  <si>
    <t>Project partially compliant</t>
  </si>
  <si>
    <t>Project non compliant</t>
  </si>
  <si>
    <t>Between -1% to -5% in delta</t>
  </si>
  <si>
    <t>Between -6% ~ -10% in delta</t>
  </si>
  <si>
    <t>Quality Management Plan</t>
  </si>
  <si>
    <t>Architecture Document</t>
  </si>
  <si>
    <t>Solution Issue Log</t>
  </si>
  <si>
    <t>Lessons Learned</t>
  </si>
  <si>
    <t>Deliverable Register</t>
  </si>
  <si>
    <t>PLANNING &amp; CONTROL</t>
  </si>
  <si>
    <t>REQUIREMENTS</t>
  </si>
  <si>
    <t>TEAM</t>
  </si>
  <si>
    <t>CUSTOMER ORGANIZATION</t>
  </si>
  <si>
    <t>Grade</t>
  </si>
  <si>
    <t>PERFORM COMPLIANCE</t>
  </si>
  <si>
    <t>Domain</t>
  </si>
  <si>
    <t>DS Confidential</t>
  </si>
  <si>
    <t>Weight</t>
  </si>
  <si>
    <t>Range</t>
  </si>
  <si>
    <t>Validation Test</t>
  </si>
  <si>
    <t>Control Values -  Hide These Columns</t>
  </si>
  <si>
    <t>Topic</t>
  </si>
  <si>
    <t>RISK</t>
  </si>
  <si>
    <t>PRODUCT &amp; SUPPORT</t>
  </si>
  <si>
    <t>USER</t>
  </si>
  <si>
    <t>COMPLEXITY</t>
  </si>
  <si>
    <t>QUALITY</t>
  </si>
  <si>
    <t>PMO ASSESSMENT BY RISK TOPIC</t>
  </si>
  <si>
    <t>Risk Topic</t>
  </si>
  <si>
    <t>REF</t>
  </si>
  <si>
    <t>Status</t>
  </si>
  <si>
    <t>PM</t>
  </si>
  <si>
    <t>NEW</t>
  </si>
  <si>
    <t>TODO</t>
  </si>
  <si>
    <t>PM0</t>
  </si>
  <si>
    <t>DONE</t>
  </si>
  <si>
    <t>BT</t>
  </si>
  <si>
    <t>WIP</t>
  </si>
  <si>
    <t>LOST</t>
  </si>
  <si>
    <t>Capitalization</t>
  </si>
  <si>
    <t>Customer</t>
  </si>
  <si>
    <t>Project Name 1</t>
  </si>
  <si>
    <t>Project Name 2</t>
  </si>
  <si>
    <t>Current Project Gate</t>
  </si>
  <si>
    <t>Risk/Issue/Action Register</t>
  </si>
  <si>
    <t>Governance Meeting Minutes</t>
  </si>
  <si>
    <t>Statement of Work</t>
  </si>
  <si>
    <t>Stakeholder Register</t>
  </si>
  <si>
    <t>Governance Charter</t>
  </si>
  <si>
    <t>Project WBS</t>
  </si>
  <si>
    <t>Quality Management plan (Acceptance criteria)</t>
  </si>
  <si>
    <t>Requirement Specification</t>
  </si>
  <si>
    <t>System Integration Test Results</t>
  </si>
  <si>
    <t xml:space="preserve">Certificate of Acceptance </t>
  </si>
  <si>
    <t>Other non mandatory documents stored (under DSxCP)</t>
  </si>
  <si>
    <t>O</t>
  </si>
  <si>
    <t>No evidence</t>
  </si>
  <si>
    <t>Evidence stored under DSxCP</t>
  </si>
  <si>
    <t>NA</t>
  </si>
  <si>
    <t>Not applicable for the project</t>
  </si>
  <si>
    <t>BAC contract margin : %, EAC contract margin: %
BAC= days/hours, EAC= days/hours, ITD= days/hours, ETC= days/hours</t>
  </si>
  <si>
    <t>month/year- Product number</t>
  </si>
  <si>
    <t xml:space="preserve">Improper acceptance criteria </t>
  </si>
  <si>
    <t xml:space="preserve">Weak contract change management </t>
  </si>
  <si>
    <t>Unability to freeze functional scope</t>
  </si>
  <si>
    <t>Unfulfilled client responsibilities</t>
  </si>
  <si>
    <t xml:space="preserve">Ineffective financial management </t>
  </si>
  <si>
    <t>Management decisions impacting finance</t>
  </si>
  <si>
    <t>Staffing issue (skills, availability)</t>
  </si>
  <si>
    <t>Maturity of DS Solution / OOTB issues</t>
  </si>
  <si>
    <t xml:space="preserve">Lack of project methodology (PERFORM) </t>
  </si>
  <si>
    <t>Lack of risk management</t>
  </si>
  <si>
    <t xml:space="preserve">Failure to use governance appropriately </t>
  </si>
  <si>
    <t>Lack of coordination between DS teams</t>
  </si>
  <si>
    <t>Ineffective communication and reporting</t>
  </si>
  <si>
    <t>Lack of management support</t>
  </si>
  <si>
    <t>CONTRACT</t>
  </si>
  <si>
    <t>Inadequate contract vs scope definition maturity</t>
  </si>
  <si>
    <t>Improper initial project schedule</t>
  </si>
  <si>
    <t>Workload under-estimation</t>
  </si>
  <si>
    <t>% of margin Impact</t>
  </si>
  <si>
    <t>Project difficulties  : y/n</t>
  </si>
  <si>
    <t>y</t>
  </si>
  <si>
    <t>n</t>
  </si>
  <si>
    <t>PROJECT DIFFICULTIES</t>
  </si>
  <si>
    <t>RELATED ITEM of PROJECT REVIEW</t>
  </si>
  <si>
    <t>1
MM/YY</t>
  </si>
  <si>
    <t>ORB</t>
  </si>
  <si>
    <t>Assumptions</t>
  </si>
  <si>
    <t>Comments</t>
  </si>
  <si>
    <t>Schedule Planning</t>
  </si>
  <si>
    <t>OOTB Product Quality</t>
  </si>
  <si>
    <t>2
MM/YY</t>
  </si>
  <si>
    <t>3
MM/YY</t>
  </si>
  <si>
    <t>4
MM/YY</t>
  </si>
  <si>
    <t>5
MM/YY</t>
  </si>
  <si>
    <t>6
MM/YY</t>
  </si>
  <si>
    <t>7
MM/YY</t>
  </si>
  <si>
    <t>8
MM/YY</t>
  </si>
  <si>
    <t>9
MM/YY</t>
  </si>
  <si>
    <t>10
MM/YY</t>
  </si>
  <si>
    <t>Customer responsibilities</t>
  </si>
  <si>
    <r>
      <t xml:space="preserve">INFORMATION STORED UNDER DSxCP? 
</t>
    </r>
    <r>
      <rPr>
        <b/>
        <sz val="8"/>
        <color theme="0"/>
        <rFont val="Calibri"/>
        <family val="2"/>
        <scheme val="minor"/>
      </rPr>
      <t>(Yes =1, No= 0, 
or NA = Not Applicable )</t>
    </r>
  </si>
  <si>
    <t>The project is on track but with identified risks/issues that require to be addressed.</t>
  </si>
  <si>
    <t>The project is not on track and requires immediate actions with recovery plan.</t>
  </si>
  <si>
    <t>The project is under emergency crisis,  requires immediate actions with recovery plan and High management attention.</t>
  </si>
  <si>
    <t>Stakeholders Management</t>
  </si>
  <si>
    <t>Meeting Minutes</t>
  </si>
  <si>
    <t xml:space="preserve">Risks Mitigation Plan </t>
  </si>
  <si>
    <t>Resources</t>
  </si>
  <si>
    <t>Baseline Update Process</t>
  </si>
  <si>
    <t>Margin delta</t>
  </si>
  <si>
    <t xml:space="preserve">Deliverables </t>
  </si>
  <si>
    <t xml:space="preserve">Scope Creep and Change Control </t>
  </si>
  <si>
    <t>(P-000XXXX)</t>
  </si>
  <si>
    <r>
      <t xml:space="preserve">INFORMATION STORED UNDER DSxCP? 
</t>
    </r>
    <r>
      <rPr>
        <b/>
        <sz val="10"/>
        <color theme="0"/>
        <rFont val="Calibri"/>
        <family val="2"/>
        <scheme val="minor"/>
      </rPr>
      <t>(Yes =1, No= 0, 
or Not Applicable )</t>
    </r>
  </si>
  <si>
    <t xml:space="preserve">ENGAGEMENT QUALITY - PROJECT CLOSURE REVIEW </t>
  </si>
  <si>
    <t>CUSTOMER NAME</t>
  </si>
  <si>
    <t>P-000XXXX</t>
  </si>
  <si>
    <t>Target Release, FP &amp; CF</t>
  </si>
  <si>
    <t>PROJECT MANAGER FEEDBACKS BY DOMAIN</t>
  </si>
  <si>
    <t>PROJECT MANAGER CONCLUSIONS</t>
  </si>
  <si>
    <t>NEXT STEP</t>
  </si>
  <si>
    <t>PMO CONCLUSIONS</t>
  </si>
  <si>
    <t>Final Status Quality</t>
  </si>
  <si>
    <t>Project documentation under DSxCP</t>
  </si>
  <si>
    <t>DSIS community post</t>
  </si>
  <si>
    <t>https://dsext001-eu1-215dsi0708-3dswym.3dexperience.3ds.com/#community:213/post:140382</t>
  </si>
  <si>
    <t>Capitalization on assets</t>
  </si>
  <si>
    <t>Estimates (EAC vs BAC)</t>
  </si>
  <si>
    <r>
      <rPr>
        <b/>
        <sz val="11"/>
        <color theme="1"/>
        <rFont val="Calibri"/>
        <family val="2"/>
        <scheme val="minor"/>
      </rPr>
      <t>BAC workload</t>
    </r>
    <r>
      <rPr>
        <sz val="11"/>
        <color theme="1"/>
        <rFont val="Calibri"/>
        <family val="2"/>
        <scheme val="minor"/>
      </rPr>
      <t xml:space="preserve">: XXX days
</t>
    </r>
    <r>
      <rPr>
        <b/>
        <sz val="11"/>
        <color theme="1"/>
        <rFont val="Calibri"/>
        <family val="2"/>
        <scheme val="minor"/>
      </rPr>
      <t>BAC contract margin</t>
    </r>
    <r>
      <rPr>
        <sz val="11"/>
        <color theme="1"/>
        <rFont val="Calibri"/>
        <family val="2"/>
        <scheme val="minor"/>
      </rPr>
      <t xml:space="preserve">: XXX %
</t>
    </r>
    <r>
      <rPr>
        <b/>
        <sz val="11"/>
        <color theme="1"/>
        <rFont val="Calibri"/>
        <family val="2"/>
        <scheme val="minor"/>
      </rPr>
      <t/>
    </r>
  </si>
  <si>
    <t>ACTION PLAN</t>
  </si>
  <si>
    <t>STATUS</t>
  </si>
  <si>
    <t>[INSERT PROJET NAME]</t>
  </si>
  <si>
    <t>XXX001</t>
  </si>
  <si>
    <t>XXX002</t>
  </si>
  <si>
    <t>XXX003</t>
  </si>
  <si>
    <t>XXX004</t>
  </si>
  <si>
    <t>XXX005</t>
  </si>
  <si>
    <t>N/A</t>
  </si>
  <si>
    <t>Grade Weight 1</t>
  </si>
  <si>
    <t>Grade Weight 2</t>
  </si>
  <si>
    <t>Grade Weight 3</t>
  </si>
  <si>
    <t>Grade Weight 4</t>
  </si>
  <si>
    <t>Grade Weight 5</t>
  </si>
  <si>
    <t>Grade Weight 6</t>
  </si>
  <si>
    <t>Grade Weight 7</t>
  </si>
  <si>
    <t>Grade Weight 8</t>
  </si>
  <si>
    <t>Grade Weight 9</t>
  </si>
  <si>
    <t>Grade Weight 10</t>
  </si>
  <si>
    <t>[TAKE an action]</t>
  </si>
  <si>
    <r>
      <t xml:space="preserve">ORB
</t>
    </r>
    <r>
      <rPr>
        <b/>
        <sz val="12"/>
        <color theme="0"/>
        <rFont val="Calibri"/>
        <family val="2"/>
        <scheme val="minor"/>
      </rPr>
      <t>How was the SOW scope reviewed and analyzed before committing to customers/partners? E.g. formal ORB, based on previous experience, risk assessment, fixed price risks, FOAK, R&amp;D dependencies, etc.
What have you done in terms of analyzing our commitments based on the SOW scope, milestones &amp; deliverables?</t>
    </r>
  </si>
  <si>
    <r>
      <t xml:space="preserve">Assumptions
</t>
    </r>
    <r>
      <rPr>
        <b/>
        <sz val="12"/>
        <color theme="0"/>
        <rFont val="Calibri"/>
        <family val="2"/>
        <scheme val="minor"/>
      </rPr>
      <t>What significant omissions were present in the SOW?   E.g.  protective languages, UAT test effort fixed, data cleansing is customer's responsibility, etc.</t>
    </r>
  </si>
  <si>
    <r>
      <t xml:space="preserve">Pre Sales Demonstration
</t>
    </r>
    <r>
      <rPr>
        <b/>
        <sz val="12"/>
        <color theme="0"/>
        <rFont val="Calibri"/>
        <family val="2"/>
        <scheme val="minor"/>
      </rPr>
      <t>The project requirements are aligned to behavior demonstrated by Presales. 
The Customers' Business &amp; IT are aligned with their solution requirements.</t>
    </r>
  </si>
  <si>
    <r>
      <t xml:space="preserve">External Dependencies
</t>
    </r>
    <r>
      <rPr>
        <b/>
        <sz val="12"/>
        <color theme="0"/>
        <rFont val="Calibri"/>
        <family val="2"/>
        <scheme val="minor"/>
      </rPr>
      <t>Are there numerous simultaneous swim lanes for the project?
Are there numerous integration points to external projects?
Are the interfaces to other projects clearly defined in the scheduled?</t>
    </r>
  </si>
  <si>
    <r>
      <t xml:space="preserve">Internal Dependencies
</t>
    </r>
    <r>
      <rPr>
        <b/>
        <sz val="12"/>
        <color theme="0"/>
        <rFont val="Calibri"/>
        <family val="2"/>
        <scheme val="minor"/>
      </rPr>
      <t>What were the dependencies on R&amp;D including FP, or FOAK?  How they were managed?
Is the ERD list accurate and up to date (including status) ?</t>
    </r>
  </si>
  <si>
    <r>
      <t xml:space="preserve">Data Migration
</t>
    </r>
    <r>
      <rPr>
        <b/>
        <sz val="12"/>
        <color theme="0"/>
        <rFont val="Calibri"/>
        <family val="2"/>
        <scheme val="minor"/>
      </rPr>
      <t>Project including Data Migration? 
If yes under DS responsibility? 
If yes Transition Factory involved?
DS is responsible for data cleaning?
Volume of the migration (#assemblage and Gb)?</t>
    </r>
  </si>
  <si>
    <r>
      <t xml:space="preserve">WBS
</t>
    </r>
    <r>
      <rPr>
        <b/>
        <sz val="12"/>
        <color theme="0"/>
        <rFont val="Calibri"/>
        <family val="2"/>
        <scheme val="minor"/>
      </rPr>
      <t>Is the Project WBS existing and up to date, per Phase and detailed Activities in SOW or Microsoft Project Plan?</t>
    </r>
  </si>
  <si>
    <r>
      <t xml:space="preserve">Scope Creep and Change Control
</t>
    </r>
    <r>
      <rPr>
        <b/>
        <sz val="12"/>
        <color theme="0"/>
        <rFont val="Calibri"/>
        <family val="2"/>
        <scheme val="minor"/>
      </rPr>
      <t>How scope creep is being managed? What is the formal change control process and who are on CCB ?</t>
    </r>
  </si>
  <si>
    <r>
      <t xml:space="preserve">Deliverables
</t>
    </r>
    <r>
      <rPr>
        <b/>
        <sz val="12"/>
        <color theme="0"/>
        <rFont val="Calibri"/>
        <family val="2"/>
        <scheme val="minor"/>
      </rPr>
      <t>Were all the Deliverables clear and documented in the Deliverables Register ?</t>
    </r>
  </si>
  <si>
    <r>
      <t xml:space="preserve">Gate Milestone or Deliverable Acceptance
</t>
    </r>
    <r>
      <rPr>
        <b/>
        <sz val="12"/>
        <color theme="0"/>
        <rFont val="Calibri"/>
        <family val="2"/>
        <scheme val="minor"/>
      </rPr>
      <t>What are the Acceptance criteria / Go Live criteria defined? What is the formal sign off process?
Are there any issues related to customer acceptance?</t>
    </r>
  </si>
  <si>
    <r>
      <t xml:space="preserve">Customer responsibilities
</t>
    </r>
    <r>
      <rPr>
        <b/>
        <sz val="12"/>
        <color theme="0"/>
        <rFont val="Calibri"/>
        <family val="2"/>
        <scheme val="minor"/>
      </rPr>
      <t>Do your Customer fulfill his duties as agreed initially by contract (in terms of delay, informations, inputs, validations of deliverables, resources) ?</t>
    </r>
  </si>
  <si>
    <r>
      <t xml:space="preserve">Requirement Traceability
</t>
    </r>
    <r>
      <rPr>
        <b/>
        <sz val="12"/>
        <color theme="0"/>
        <rFont val="Calibri"/>
        <family val="2"/>
        <scheme val="minor"/>
      </rPr>
      <t>What is the traceability management from requirements through out the life cycle?
Do you define a rule to calculate the percentage between OOTB versus Customization ? 
If yes what are percentages between OOTB versus Customization ?</t>
    </r>
  </si>
  <si>
    <r>
      <t xml:space="preserve">Schedule Planning
</t>
    </r>
    <r>
      <rPr>
        <b/>
        <sz val="12"/>
        <color theme="0"/>
        <rFont val="Calibri"/>
        <family val="2"/>
        <scheme val="minor"/>
      </rPr>
      <t>How were Project schedule planned (activities with sequence, dependencies and critical path and owner) (including Customer activities)
What are the contingencies in the scheduled milestones  (UAT, Cut off date,  Code freeze, DS deliveries, GO LIVE Customer) and how are they managed? E.g. time required for fixed packs between Unit test, SIT, UAT, Go Live; holidays, vacation?</t>
    </r>
  </si>
  <si>
    <r>
      <t xml:space="preserve">Project Schedule Baseline
</t>
    </r>
    <r>
      <rPr>
        <b/>
        <sz val="12"/>
        <color theme="0"/>
        <rFont val="Calibri"/>
        <family val="2"/>
        <scheme val="minor"/>
      </rPr>
      <t>How are schedule changes managed?  
What is the formal signoff procedure for a new baseline?</t>
    </r>
  </si>
  <si>
    <r>
      <t xml:space="preserve">DSx.C-P schedule (WBS)
</t>
    </r>
    <r>
      <rPr>
        <b/>
        <sz val="12"/>
        <color theme="0"/>
        <rFont val="Calibri"/>
        <family val="2"/>
        <scheme val="minor"/>
      </rPr>
      <t>Are all major milestones (CF, LCF, SIT, UAT, and GL dates) defined in the WBS in DSx.Client-Program ?</t>
    </r>
  </si>
  <si>
    <r>
      <t xml:space="preserve">Critical Tasks
</t>
    </r>
    <r>
      <rPr>
        <b/>
        <sz val="12"/>
        <color theme="0"/>
        <rFont val="Calibri"/>
        <family val="2"/>
        <scheme val="minor"/>
      </rPr>
      <t>Which tasks are most risky at this point?
How were they managed to avoid slipping?</t>
    </r>
  </si>
  <si>
    <r>
      <t xml:space="preserve">Governance &amp; Communication Plan
</t>
    </r>
    <r>
      <rPr>
        <b/>
        <sz val="12"/>
        <color theme="0"/>
        <rFont val="Calibri"/>
        <family val="2"/>
        <scheme val="minor"/>
      </rPr>
      <t>What is the governance in place (chart, RACI for project internal and Customer, escalation path, meetings and committees in place)?
Has the customer's upper management been routinely informed on the project progress?
What is the communication plan with all customer stakeholders? E.g. Weekly call, monthly calls based on project governance.</t>
    </r>
  </si>
  <si>
    <r>
      <t xml:space="preserve">Stakeholders Management
</t>
    </r>
    <r>
      <rPr>
        <b/>
        <sz val="12"/>
        <color theme="0"/>
        <rFont val="Calibri"/>
        <family val="2"/>
        <scheme val="minor"/>
      </rPr>
      <t>Is there any issue with stakeholders.
How were stakeholders managed? How often the stakeholder register updated?
Has the customer organization remained stable and supportive of the project?</t>
    </r>
  </si>
  <si>
    <r>
      <t xml:space="preserve">Meeting Minutes
</t>
    </r>
    <r>
      <rPr>
        <b/>
        <sz val="12"/>
        <color theme="0"/>
        <rFont val="Calibri"/>
        <family val="2"/>
        <scheme val="minor"/>
      </rPr>
      <t>Meeting minutes exists and are properly stored in DSx.C-P for  all Meetings (Including Executive Governance Meetings).</t>
    </r>
  </si>
  <si>
    <r>
      <t xml:space="preserve">Collaboration with other DS organization
</t>
    </r>
    <r>
      <rPr>
        <b/>
        <sz val="12"/>
        <color theme="0"/>
        <rFont val="Calibri"/>
        <family val="2"/>
        <scheme val="minor"/>
      </rPr>
      <t>What is the communication plan with R&amp;D Customer Support (defects and HMA)?
Communication with R&amp;D Industry/Brand (ERD)</t>
    </r>
  </si>
  <si>
    <r>
      <t xml:space="preserve">Risks Management
</t>
    </r>
    <r>
      <rPr>
        <b/>
        <sz val="12"/>
        <color theme="0"/>
        <rFont val="Calibri"/>
        <family val="2"/>
        <scheme val="minor"/>
      </rPr>
      <t>How often is Risks register updated ?</t>
    </r>
  </si>
  <si>
    <r>
      <t xml:space="preserve">Risks Identification
</t>
    </r>
    <r>
      <rPr>
        <b/>
        <sz val="12"/>
        <color theme="0"/>
        <rFont val="Calibri"/>
        <family val="2"/>
        <scheme val="minor"/>
      </rPr>
      <t>What are the top risks?
How were those customer related risks identified and communicated with customers ?</t>
    </r>
  </si>
  <si>
    <r>
      <t xml:space="preserve">Risks Mitigation Plan
</t>
    </r>
    <r>
      <rPr>
        <b/>
        <sz val="12"/>
        <color theme="0"/>
        <rFont val="Calibri"/>
        <family val="2"/>
        <scheme val="minor"/>
      </rPr>
      <t>Do you have a mitigation plan or risk strategy response ?
How were the owners of risks assigned and followed up?</t>
    </r>
  </si>
  <si>
    <r>
      <t xml:space="preserve">Change management and End User adoption
</t>
    </r>
    <r>
      <rPr>
        <b/>
        <sz val="12"/>
        <color theme="0"/>
        <rFont val="Calibri"/>
        <family val="2"/>
        <scheme val="minor"/>
      </rPr>
      <t>How will end-user adopt the solution?
Has the users participated in requirement definition?
Has planning been done for adoption or change management?</t>
    </r>
  </si>
  <si>
    <r>
      <t xml:space="preserve">Quality Management Plan
</t>
    </r>
    <r>
      <rPr>
        <b/>
        <sz val="12"/>
        <color theme="0"/>
        <rFont val="Calibri"/>
        <family val="2"/>
        <scheme val="minor"/>
      </rPr>
      <t>Is the Quality Management Plan:
Documented, Approved, and Aligned with PERFORM
How is the project deliverable quality  addressed?</t>
    </r>
  </si>
  <si>
    <r>
      <t xml:space="preserve">Quality Standards Compliance
</t>
    </r>
    <r>
      <rPr>
        <b/>
        <sz val="12"/>
        <color theme="0"/>
        <rFont val="Calibri"/>
        <family val="2"/>
        <scheme val="minor"/>
      </rPr>
      <t>Project team can readily demonstrate their access to "current" Quality Standards  including Project Quality Management Plan?</t>
    </r>
  </si>
  <si>
    <r>
      <t xml:space="preserve">Deliverable SOP Role Compliance
</t>
    </r>
    <r>
      <rPr>
        <b/>
        <sz val="12"/>
        <color theme="0"/>
        <rFont val="Calibri"/>
        <family val="2"/>
        <scheme val="minor"/>
      </rPr>
      <t>The assigned project roles for Deliverable Activity (author, review, approval)  complies with PERFORM or with the  documented  Quality Management Plan?</t>
    </r>
  </si>
  <si>
    <r>
      <t xml:space="preserve">Project Tools - Configuration management
</t>
    </r>
    <r>
      <rPr>
        <b/>
        <sz val="12"/>
        <color theme="0"/>
        <rFont val="Calibri"/>
        <family val="2"/>
        <scheme val="minor"/>
      </rPr>
      <t>Are you using PERFORM Toolkit ? If not are you using tools as described in the Project Quality Management Plan ?
How was configuration managed for configuration and customization codes? What are the issues or challenges? Where do you store  working copies of codes (configurations, customizations)?</t>
    </r>
  </si>
  <si>
    <r>
      <t xml:space="preserve">Issue Management
</t>
    </r>
    <r>
      <rPr>
        <b/>
        <sz val="12"/>
        <color theme="0"/>
        <rFont val="Calibri"/>
        <family val="2"/>
        <scheme val="minor"/>
      </rPr>
      <t>Do you have a single version of truth for all project issues from both client and 3DS? Are priority and audit trail tracked accordingly?</t>
    </r>
  </si>
  <si>
    <r>
      <t xml:space="preserve">Requirements, Functional, Tech Spec Signoff Process
</t>
    </r>
    <r>
      <rPr>
        <b/>
        <sz val="12"/>
        <color theme="0"/>
        <rFont val="Calibri"/>
        <family val="2"/>
        <scheme val="minor"/>
      </rPr>
      <t>What is the change control and signoff process for requirements, functional spec, tech spec?</t>
    </r>
  </si>
  <si>
    <r>
      <t xml:space="preserve">Test cases
</t>
    </r>
    <r>
      <rPr>
        <b/>
        <sz val="12"/>
        <color theme="0"/>
        <rFont val="Calibri"/>
        <family val="2"/>
        <scheme val="minor"/>
      </rPr>
      <t>Who develop the unit test and have those been replayed before delivery ?
Who develop the test cases and have those been verified against the scope? How were the test cases formally signed off?</t>
    </r>
  </si>
  <si>
    <r>
      <t xml:space="preserve">UAT
</t>
    </r>
    <r>
      <rPr>
        <b/>
        <sz val="12"/>
        <color theme="0"/>
        <rFont val="Calibri"/>
        <family val="2"/>
        <scheme val="minor"/>
      </rPr>
      <t>Were there consistent customer team members involved in both business process definition, and conducting UAT testing?
What are the entry and exit criteria for the UAT test? (e.g. entry criteria - test cases are covering 100% of user requirements; e.g. exit criteria - 0 Showstoppers, 25 major issues with workarounds)</t>
    </r>
  </si>
  <si>
    <r>
      <t xml:space="preserve">Infrastructure Compliance
</t>
    </r>
    <r>
      <rPr>
        <b/>
        <sz val="12"/>
        <color theme="0"/>
        <rFont val="Calibri"/>
        <family val="2"/>
        <scheme val="minor"/>
      </rPr>
      <t>How were the Infrastructure compliance tracked?  How are performance risks managed?
Do you have any committed performance level to reach?
Is DS responsible for infrastructure?
If no, do you consider that the team/partner in charge have sufficient skills?</t>
    </r>
  </si>
  <si>
    <r>
      <t xml:space="preserve">QA Process of Partners' Deliverables
</t>
    </r>
    <r>
      <rPr>
        <b/>
        <sz val="12"/>
        <color theme="0"/>
        <rFont val="Calibri"/>
        <family val="2"/>
        <scheme val="minor"/>
      </rPr>
      <t>How are you checking the quality of partners/subcontractors' deliverables?
How are the partner's managing their quality?</t>
    </r>
  </si>
  <si>
    <r>
      <t xml:space="preserve">Team Skill &amp; Experience
</t>
    </r>
    <r>
      <rPr>
        <b/>
        <sz val="12"/>
        <color theme="0"/>
        <rFont val="Calibri"/>
        <family val="2"/>
        <scheme val="minor"/>
      </rPr>
      <t>The team's level of experience and skill set meets the needs of the project?</t>
    </r>
  </si>
  <si>
    <r>
      <t xml:space="preserve">Roles &amp; Responsibilities
</t>
    </r>
    <r>
      <rPr>
        <b/>
        <sz val="12"/>
        <color theme="0"/>
        <rFont val="Calibri"/>
        <family val="2"/>
        <scheme val="minor"/>
      </rPr>
      <t>Both 3DS extended team and Customers' Roles, responsibilities and expectations are clearly defined, communicated and understood?</t>
    </r>
  </si>
  <si>
    <r>
      <t xml:space="preserve">Internal Governance
</t>
    </r>
    <r>
      <rPr>
        <b/>
        <sz val="12"/>
        <color theme="0"/>
        <rFont val="Calibri"/>
        <family val="2"/>
        <scheme val="minor"/>
      </rPr>
      <t>Internal governance and management of the team is effective and meeting project needs?</t>
    </r>
  </si>
  <si>
    <r>
      <t xml:space="preserve">Resources
</t>
    </r>
    <r>
      <rPr>
        <b/>
        <sz val="12"/>
        <color theme="0"/>
        <rFont val="Calibri"/>
        <family val="2"/>
        <scheme val="minor"/>
      </rPr>
      <t>What are the risks in Staffing (constraints - skills and availability), and how were the resources managed?</t>
    </r>
  </si>
  <si>
    <r>
      <t xml:space="preserve">Knowledge Transfer
</t>
    </r>
    <r>
      <rPr>
        <b/>
        <sz val="12"/>
        <color theme="0"/>
        <rFont val="Calibri"/>
        <family val="2"/>
        <scheme val="minor"/>
      </rPr>
      <t>How were the responsibility transferred among team members when resources changed?</t>
    </r>
  </si>
  <si>
    <r>
      <t xml:space="preserve">Team Dynamics &amp; Atmosphere
</t>
    </r>
    <r>
      <rPr>
        <b/>
        <sz val="12"/>
        <color theme="0"/>
        <rFont val="Calibri"/>
        <family val="2"/>
        <scheme val="minor"/>
      </rPr>
      <t>The team spirit, attitude and motivation remains high?</t>
    </r>
  </si>
  <si>
    <r>
      <t xml:space="preserve">Working Environment
</t>
    </r>
    <r>
      <rPr>
        <b/>
        <sz val="12"/>
        <color theme="0"/>
        <rFont val="Calibri"/>
        <family val="2"/>
        <scheme val="minor"/>
      </rPr>
      <t>The working arrangements/facilities promote a productive and effective work environment?</t>
    </r>
  </si>
  <si>
    <r>
      <t xml:space="preserve">Partner and  Subcontractors
</t>
    </r>
    <r>
      <rPr>
        <b/>
        <sz val="12"/>
        <color theme="0"/>
        <rFont val="Calibri"/>
        <family val="2"/>
        <scheme val="minor"/>
      </rPr>
      <t>Partners and Subcontractors are successfully integrated into the team?</t>
    </r>
  </si>
  <si>
    <r>
      <t xml:space="preserve">Offshore Team
</t>
    </r>
    <r>
      <rPr>
        <b/>
        <sz val="12"/>
        <color theme="0"/>
        <rFont val="Calibri"/>
        <family val="2"/>
        <scheme val="minor"/>
      </rPr>
      <t>What is the size of the team?
Is there any contact person on site?
Offshore Teams (if applicable) are successfully integrated into the team?</t>
    </r>
  </si>
  <si>
    <r>
      <t xml:space="preserve">PO
</t>
    </r>
    <r>
      <rPr>
        <b/>
        <sz val="12"/>
        <color theme="0"/>
        <rFont val="Calibri"/>
        <family val="2"/>
        <scheme val="minor"/>
      </rPr>
      <t>Were PO received and SOW signed off?</t>
    </r>
  </si>
  <si>
    <r>
      <t xml:space="preserve">Baseline Update Process
</t>
    </r>
    <r>
      <rPr>
        <b/>
        <sz val="12"/>
        <color theme="0"/>
        <rFont val="Calibri"/>
        <family val="2"/>
        <scheme val="minor"/>
      </rPr>
      <t>How are budget managed to attain project financial goals? What is the customer's signoff process for the updated project budget?
What is the justification of Re-baseline of the budget ?</t>
    </r>
  </si>
  <si>
    <r>
      <t xml:space="preserve">Margin delta
</t>
    </r>
    <r>
      <rPr>
        <b/>
        <sz val="12"/>
        <color theme="0"/>
        <rFont val="Calibri"/>
        <family val="2"/>
        <scheme val="minor"/>
      </rPr>
      <t>What are the margins in original budget, updated budget, project to date, year to date, quarter, EAC? 
What are the delta between the BAC contract margin and EAC contract margin? Why they are significant? What is the plan to recover?
Has the project budget been managed consistently with accurate data?</t>
    </r>
  </si>
  <si>
    <r>
      <t xml:space="preserve">External Impact management
</t>
    </r>
    <r>
      <rPr>
        <b/>
        <sz val="12"/>
        <color theme="0"/>
        <rFont val="Calibri"/>
        <family val="2"/>
        <scheme val="minor"/>
      </rPr>
      <t>What are the external impact to the project budget and how were they managed? E.g.  resources cost change, STC funding, PCR.</t>
    </r>
  </si>
  <si>
    <r>
      <t xml:space="preserve">Customer invoices management
</t>
    </r>
    <r>
      <rPr>
        <b/>
        <sz val="12"/>
        <color theme="0"/>
        <rFont val="Calibri"/>
        <family val="2"/>
        <scheme val="minor"/>
      </rPr>
      <t>How are customer invoicing managed?  Are all billing and payment on schedule?</t>
    </r>
  </si>
  <si>
    <r>
      <t xml:space="preserve">Partner invoicing management
</t>
    </r>
    <r>
      <rPr>
        <b/>
        <sz val="12"/>
        <color theme="0"/>
        <rFont val="Calibri"/>
        <family val="2"/>
        <scheme val="minor"/>
      </rPr>
      <t>How are subcontractor or partner invoicing managed?  Are all billing and payment on schedule?</t>
    </r>
  </si>
  <si>
    <r>
      <t xml:space="preserve">Non Billable time management
</t>
    </r>
    <r>
      <rPr>
        <b/>
        <sz val="12"/>
        <color theme="0"/>
        <rFont val="Calibri"/>
        <family val="2"/>
        <scheme val="minor"/>
      </rPr>
      <t>How much Non Billable time in the current project?  What is the impact on the margins? What is the mitigation plan?</t>
    </r>
  </si>
  <si>
    <t>PMO - PROJECT  REVIEW #</t>
  </si>
  <si>
    <t>Services Proposal Id</t>
  </si>
  <si>
    <t>Project Id</t>
  </si>
  <si>
    <t>Project Description</t>
  </si>
  <si>
    <t>Contract Type</t>
  </si>
  <si>
    <t>Contract Line Revenue Types</t>
  </si>
  <si>
    <t>Pricing Revenue (EUR)</t>
  </si>
  <si>
    <t>DSXXXXXXXXXXXXX</t>
  </si>
  <si>
    <t>000000XXXXX</t>
  </si>
  <si>
    <t>EUR</t>
  </si>
  <si>
    <t xml:space="preserve">TCV   </t>
  </si>
  <si>
    <t>BUDGET (From ESA file)</t>
  </si>
  <si>
    <t>Baseline 1 - product number</t>
  </si>
  <si>
    <t>Baseline 2 - product number</t>
  </si>
  <si>
    <t>Baseline 3 - product number</t>
  </si>
  <si>
    <t>Baseline 4 - product number</t>
  </si>
  <si>
    <t>Baseline 5 - product number</t>
  </si>
  <si>
    <t>Governance &amp; Communication Plan</t>
  </si>
  <si>
    <t>Gate Milestone or Deliverable Acceptance</t>
  </si>
  <si>
    <t>Collaboration with other DS organization</t>
  </si>
  <si>
    <t>[&gt;50%-79%]</t>
  </si>
  <si>
    <t>[&gt;30%-49%]</t>
  </si>
  <si>
    <t>[0%-29%]</t>
  </si>
  <si>
    <t>[INSERT SAMPLE COMMENTS BY PMO REVIEWER]</t>
  </si>
  <si>
    <t>[INSERT PROJECT NAME HERE]</t>
  </si>
  <si>
    <t>[INSERT PM NAME HERE]</t>
  </si>
  <si>
    <t>[INSERT DATE HERE]</t>
  </si>
  <si>
    <t>[INSERT CUSTOMER NAME HERE]</t>
  </si>
  <si>
    <t>[INSERT PMO PERFORMERS' NAMES HERE]</t>
  </si>
  <si>
    <t xml:space="preserve">[INSERT ALL PARTICIPANTS' NAMES HERE] </t>
  </si>
  <si>
    <t>[INSERT THE NAME OF THE PMO MEMBER WHO LAST CHECKED]</t>
  </si>
  <si>
    <r>
      <rPr>
        <b/>
        <sz val="11"/>
        <color theme="1"/>
        <rFont val="Calibri"/>
        <family val="2"/>
        <scheme val="minor"/>
      </rPr>
      <t>EAC workload</t>
    </r>
    <r>
      <rPr>
        <sz val="11"/>
        <color theme="1"/>
        <rFont val="Calibri"/>
        <family val="2"/>
        <scheme val="minor"/>
      </rPr>
      <t xml:space="preserve">: YYY days
</t>
    </r>
    <r>
      <rPr>
        <b/>
        <sz val="11"/>
        <color theme="1"/>
        <rFont val="Calibri"/>
        <family val="2"/>
        <scheme val="minor"/>
      </rPr>
      <t>EAC contract margin</t>
    </r>
    <r>
      <rPr>
        <sz val="11"/>
        <color theme="1"/>
        <rFont val="Calibri"/>
        <family val="2"/>
        <scheme val="minor"/>
      </rPr>
      <t>: YYY %</t>
    </r>
  </si>
  <si>
    <r>
      <t xml:space="preserve">Training Requirements
</t>
    </r>
    <r>
      <rPr>
        <b/>
        <sz val="12"/>
        <color theme="0"/>
        <rFont val="Calibri"/>
        <family val="2"/>
        <scheme val="minor"/>
      </rPr>
      <t xml:space="preserve">All Team members (including subcontractors) have successfully completed the Quality Training required for the Project (i.e. PERFORM) for their project role?
</t>
    </r>
  </si>
  <si>
    <r>
      <t xml:space="preserve">On Budget
</t>
    </r>
    <r>
      <rPr>
        <b/>
        <sz val="12"/>
        <color theme="0"/>
        <rFont val="Calibri"/>
        <family val="2"/>
        <scheme val="minor"/>
      </rPr>
      <t>Are we following the budget plan presented to the customer"? E.g  by mileston3, we should have only spent 30% of the billable time, are we on track?</t>
    </r>
  </si>
  <si>
    <r>
      <t xml:space="preserve">OOTB Product Quality
</t>
    </r>
    <r>
      <rPr>
        <b/>
        <sz val="12"/>
        <color theme="0"/>
        <rFont val="Calibri"/>
        <family val="2"/>
        <scheme val="minor"/>
      </rPr>
      <t>Is the Support process known by Project team and Customer ? Is the Process efficient ?
How many CRITSITs do we have ? Are they managed ?</t>
    </r>
  </si>
  <si>
    <t>DIFFICULTIES</t>
  </si>
  <si>
    <t xml:space="preserve">LESSONS LEARNED </t>
  </si>
  <si>
    <t>PROJECT PAINS</t>
  </si>
  <si>
    <t>V12.0 - 2017
22/5/2017</t>
  </si>
  <si>
    <t>Copy the top Lessons Learned tab from the Project's "Lessons Learned" template (in the Matrix sheet ) and paste it here.</t>
  </si>
  <si>
    <t>Project Baseline</t>
  </si>
  <si>
    <t>Product number - year</t>
  </si>
  <si>
    <t>Risks Mitigation Plan</t>
  </si>
  <si>
    <t/>
  </si>
  <si>
    <t>Non Billable time management</t>
  </si>
  <si>
    <t xml:space="preserve"> </t>
  </si>
  <si>
    <t>UAT</t>
  </si>
  <si>
    <t>DSx.C-P schedule (WBS)</t>
  </si>
  <si>
    <t>Deliverables</t>
  </si>
  <si>
    <t>Team Skill And Experience</t>
  </si>
  <si>
    <t>Knowledge Transfer</t>
  </si>
  <si>
    <t>Roles And Responsibilities</t>
  </si>
  <si>
    <t>Issue Management</t>
  </si>
  <si>
    <t>Offshore Team</t>
  </si>
  <si>
    <t>Quality Standards Compliance</t>
  </si>
  <si>
    <t>Test cases</t>
  </si>
  <si>
    <t>Risks Management</t>
  </si>
  <si>
    <t>External Impact management</t>
  </si>
  <si>
    <t>Scope Creep and Change Control</t>
  </si>
  <si>
    <t>Requirement Traceability</t>
  </si>
  <si>
    <t>On Budget</t>
  </si>
  <si>
    <t>Requirements, Functional, Tech Spec Signoff Process</t>
  </si>
  <si>
    <t>Team Dynamics And Atmosphere</t>
  </si>
  <si>
    <t>Partner invoicing management</t>
  </si>
  <si>
    <t>Working Environment</t>
  </si>
  <si>
    <t>Customer invoices management</t>
  </si>
  <si>
    <t>Project Tools - Configuration management</t>
  </si>
  <si>
    <t>Project Schedule Baseline</t>
  </si>
  <si>
    <t>Change management and End User adoption</t>
  </si>
  <si>
    <t>WBS</t>
  </si>
  <si>
    <t>Internal Dependencies</t>
  </si>
  <si>
    <t>Governance And Communication Plan</t>
  </si>
  <si>
    <t>Training Requirements</t>
  </si>
  <si>
    <t>Infrastructure Compliance</t>
  </si>
  <si>
    <t>QA Process of Partners' Deliverables</t>
  </si>
  <si>
    <t>Internal Governance</t>
  </si>
  <si>
    <t>Critical Tasks</t>
  </si>
  <si>
    <t>Partner and  Subcontractors</t>
  </si>
  <si>
    <t>Risks Identification</t>
  </si>
  <si>
    <t>External Dependencies</t>
  </si>
  <si>
    <t>Data Migration</t>
  </si>
  <si>
    <t>Deliverable SOP Role Compliance</t>
  </si>
  <si>
    <t>PO</t>
  </si>
  <si>
    <t>test</t>
  </si>
  <si>
    <t>p</t>
  </si>
  <si>
    <t>sas</t>
  </si>
  <si>
    <t>sami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</si>
</sst>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
  </numFmts>
  <fonts count="79">
    <font>
      <sz val="11"/>
      <color theme="1"/>
      <name val="Calibri"/>
      <family val="2"/>
      <scheme val="minor"/>
    </font>
    <font>
      <b/>
      <sz val="11"/>
      <color theme="1"/>
      <name val="Calibri"/>
      <family val="2"/>
      <scheme val="minor"/>
    </font>
    <font>
      <b/>
      <sz val="14"/>
      <color theme="1"/>
      <name val="Calibri"/>
      <family val="2"/>
      <scheme val="minor"/>
    </font>
    <font>
      <b/>
      <sz val="10"/>
      <color theme="0"/>
      <name val="Calibri"/>
      <family val="2"/>
      <scheme val="minor"/>
    </font>
    <font>
      <b/>
      <sz val="16"/>
      <color theme="1"/>
      <name val="Calibri"/>
      <family val="2"/>
      <scheme val="minor"/>
    </font>
    <font>
      <b/>
      <sz val="12"/>
      <color theme="0"/>
      <name val="Calibri"/>
      <family val="2"/>
      <scheme val="minor"/>
    </font>
    <font>
      <sz val="12"/>
      <color theme="1"/>
      <name val="Calibri"/>
      <family val="2"/>
      <scheme val="minor"/>
    </font>
    <font>
      <b/>
      <sz val="12"/>
      <name val="Calibri"/>
      <family val="2"/>
      <scheme val="minor"/>
    </font>
    <font>
      <sz val="12"/>
      <name val="Calibri"/>
      <family val="2"/>
      <scheme val="minor"/>
    </font>
    <font>
      <b/>
      <sz val="14"/>
      <color theme="0"/>
      <name val="Calibri"/>
      <family val="2"/>
      <scheme val="minor"/>
    </font>
    <font>
      <b/>
      <sz val="18"/>
      <color theme="1"/>
      <name val="Calibri"/>
      <family val="2"/>
      <scheme val="minor"/>
    </font>
    <font>
      <sz val="18"/>
      <color theme="1"/>
      <name val="Calibri"/>
      <family val="2"/>
      <scheme val="minor"/>
    </font>
    <font>
      <b/>
      <u/>
      <sz val="11"/>
      <color theme="1"/>
      <name val="Calibri"/>
      <family val="2"/>
      <scheme val="minor"/>
    </font>
    <font>
      <b/>
      <sz val="14"/>
      <color rgb="FF002060"/>
      <name val="Calibri"/>
      <family val="2"/>
      <scheme val="minor"/>
    </font>
    <font>
      <sz val="11"/>
      <color theme="0"/>
      <name val="Calibri"/>
      <family val="2"/>
      <scheme val="minor"/>
    </font>
    <font>
      <b/>
      <sz val="12"/>
      <color rgb="FF002060"/>
      <name val="Calibri"/>
      <family val="2"/>
      <scheme val="minor"/>
    </font>
    <font>
      <b/>
      <sz val="11"/>
      <color theme="0"/>
      <name val="Calibri"/>
      <family val="2"/>
      <scheme val="minor"/>
    </font>
    <font>
      <sz val="11"/>
      <name val="Calibri"/>
      <family val="2"/>
      <scheme val="minor"/>
    </font>
    <font>
      <b/>
      <sz val="12"/>
      <color rgb="FF000000"/>
      <name val="Calibri"/>
      <family val="2"/>
    </font>
    <font>
      <b/>
      <sz val="12"/>
      <color rgb="FFFFFFFF"/>
      <name val="Calibri"/>
      <family val="2"/>
    </font>
    <font>
      <sz val="12"/>
      <color rgb="FFFF0000"/>
      <name val="Calibri"/>
      <family val="2"/>
      <scheme val="minor"/>
    </font>
    <font>
      <sz val="11"/>
      <color rgb="FFFF0000"/>
      <name val="Calibri"/>
      <family val="2"/>
      <scheme val="minor"/>
    </font>
    <font>
      <b/>
      <sz val="8"/>
      <color rgb="FF002060"/>
      <name val="Calibri"/>
      <family val="2"/>
      <scheme val="minor"/>
    </font>
    <font>
      <b/>
      <sz val="12"/>
      <color rgb="FFFF0000"/>
      <name val="Calibri"/>
      <family val="2"/>
      <scheme val="minor"/>
    </font>
    <font>
      <b/>
      <sz val="12"/>
      <color theme="1"/>
      <name val="Calibri"/>
      <family val="2"/>
      <scheme val="minor"/>
    </font>
    <font>
      <b/>
      <sz val="11"/>
      <name val="Calibri"/>
      <family val="2"/>
      <scheme val="minor"/>
    </font>
    <font>
      <u/>
      <sz val="11"/>
      <color theme="1"/>
      <name val="Calibri"/>
      <family val="2"/>
      <scheme val="minor"/>
    </font>
    <font>
      <u/>
      <sz val="12"/>
      <color theme="1"/>
      <name val="Calibri"/>
      <family val="2"/>
      <scheme val="minor"/>
    </font>
    <font>
      <u/>
      <sz val="11"/>
      <color theme="10"/>
      <name val="Calibri"/>
      <family val="2"/>
      <scheme val="minor"/>
    </font>
    <font>
      <sz val="8"/>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8"/>
      <color rgb="FF005386"/>
      <name val="Calibri"/>
      <family val="2"/>
      <scheme val="minor"/>
    </font>
    <font>
      <sz val="12"/>
      <color rgb="FF002060"/>
      <name val="Calibri"/>
      <family val="2"/>
      <scheme val="minor"/>
    </font>
    <font>
      <b/>
      <sz val="9"/>
      <color indexed="81"/>
      <name val="Tahoma"/>
      <family val="2"/>
    </font>
    <font>
      <b/>
      <sz val="12"/>
      <color indexed="81"/>
      <name val="Tahoma"/>
      <family val="2"/>
    </font>
    <font>
      <sz val="12"/>
      <color indexed="81"/>
      <name val="Tahoma"/>
      <family val="2"/>
    </font>
    <font>
      <b/>
      <sz val="12"/>
      <color rgb="FF00B0F0"/>
      <name val="Calibri"/>
      <family val="2"/>
      <scheme val="minor"/>
    </font>
    <font>
      <b/>
      <sz val="12"/>
      <color theme="3" tint="0.39997558519241921"/>
      <name val="Calibri"/>
      <family val="2"/>
      <scheme val="minor"/>
    </font>
    <font>
      <b/>
      <sz val="22"/>
      <color rgb="FF002060"/>
      <name val="Calibri"/>
      <family val="2"/>
      <scheme val="minor"/>
    </font>
    <font>
      <b/>
      <i/>
      <sz val="16"/>
      <color theme="1"/>
      <name val="Calibri"/>
      <family val="2"/>
      <scheme val="minor"/>
    </font>
    <font>
      <sz val="10"/>
      <name val="Arial"/>
      <family val="2"/>
    </font>
    <font>
      <sz val="12"/>
      <color theme="0"/>
      <name val="Calibri"/>
      <family val="2"/>
      <scheme val="minor"/>
    </font>
    <font>
      <sz val="12"/>
      <color theme="0"/>
      <name val="Perpetua Titling MT"/>
      <family val="1"/>
    </font>
    <font>
      <sz val="12"/>
      <color rgb="FF002060"/>
      <name val="Perpetua Titling MT"/>
      <family val="1"/>
    </font>
    <font>
      <b/>
      <sz val="18"/>
      <color theme="0"/>
      <name val="Calibri"/>
      <family val="2"/>
      <scheme val="minor"/>
    </font>
    <font>
      <b/>
      <sz val="18"/>
      <color rgb="FF002060"/>
      <name val="Calibri"/>
      <family val="2"/>
      <scheme val="minor"/>
    </font>
    <font>
      <b/>
      <sz val="11"/>
      <color rgb="FF002060"/>
      <name val="Calibri"/>
      <family val="2"/>
      <scheme val="minor"/>
    </font>
    <font>
      <b/>
      <sz val="22"/>
      <color theme="0"/>
      <name val="Calibri"/>
      <family val="2"/>
      <scheme val="minor"/>
    </font>
    <font>
      <b/>
      <sz val="14"/>
      <color rgb="FFFF0000"/>
      <name val="Calibri"/>
      <family val="2"/>
      <scheme val="minor"/>
    </font>
    <font>
      <i/>
      <sz val="11"/>
      <color theme="1"/>
      <name val="Calibri"/>
      <family val="2"/>
      <scheme val="minor"/>
    </font>
    <font>
      <u/>
      <sz val="12"/>
      <color theme="10"/>
      <name val="Calibri"/>
      <family val="2"/>
      <scheme val="minor"/>
    </font>
    <font>
      <sz val="12"/>
      <color theme="3" tint="0.39997558519241921"/>
      <name val="Calibri"/>
      <family val="2"/>
      <scheme val="minor"/>
    </font>
    <font>
      <sz val="14"/>
      <color rgb="FF002060"/>
      <name val="Perpetua Titling MT"/>
      <family val="1"/>
    </font>
    <font>
      <b/>
      <sz val="8"/>
      <color rgb="FF005386"/>
      <name val="Calibri"/>
      <family val="2"/>
      <scheme val="minor"/>
    </font>
    <font>
      <b/>
      <sz val="8"/>
      <color theme="0"/>
      <name val="Calibri"/>
      <family val="2"/>
      <scheme val="minor"/>
    </font>
    <font>
      <b/>
      <sz val="16"/>
      <name val="Calibri"/>
      <family val="2"/>
      <scheme val="minor"/>
    </font>
    <font>
      <i/>
      <sz val="12"/>
      <name val="Calibri"/>
      <family val="2"/>
      <scheme val="minor"/>
    </font>
    <font>
      <sz val="8"/>
      <name val="Calibri"/>
      <family val="2"/>
      <scheme val="minor"/>
    </font>
    <font>
      <b/>
      <sz val="10"/>
      <color rgb="FF002060"/>
      <name val="Calibri"/>
      <family val="2"/>
      <scheme val="minor"/>
    </font>
    <font>
      <sz val="10"/>
      <color theme="0"/>
      <name val="Calibri"/>
      <family val="2"/>
      <scheme val="minor"/>
    </font>
    <font>
      <u/>
      <sz val="14"/>
      <color theme="10"/>
      <name val="Calibri"/>
      <family val="2"/>
      <scheme val="minor"/>
    </font>
    <font>
      <sz val="14"/>
      <color rgb="FF002060"/>
      <name val="Calibri"/>
      <family val="2"/>
      <scheme val="minor"/>
    </font>
    <font>
      <b/>
      <sz val="20"/>
      <color theme="1"/>
      <name val="Calibri"/>
      <family val="2"/>
      <scheme val="minor"/>
    </font>
    <font>
      <b/>
      <sz val="9"/>
      <color indexed="9"/>
      <name val="Arial"/>
      <family val="2"/>
    </font>
    <font>
      <sz val="9"/>
      <name val="Calibri"/>
      <family val="2"/>
      <scheme val="minor"/>
    </font>
    <font>
      <u/>
      <sz val="10"/>
      <color theme="10"/>
      <name val="Calibri"/>
      <family val="2"/>
      <scheme val="minor"/>
    </font>
    <font>
      <b/>
      <i/>
      <sz val="12"/>
      <color rgb="FF002060"/>
      <name val="Calibri"/>
      <family val="2"/>
      <scheme val="minor"/>
    </font>
  </fonts>
  <fills count="64">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rgb="FFFFFF00"/>
        <bgColor indexed="64"/>
      </patternFill>
    </fill>
    <fill>
      <patternFill patternType="solid">
        <fgColor theme="4" tint="0.79998168889431442"/>
        <bgColor indexed="64"/>
      </patternFill>
    </fill>
    <fill>
      <patternFill patternType="solid">
        <fgColor rgb="FFFF0000"/>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rgb="FF00FF00"/>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FFC000"/>
        <bgColor indexed="64"/>
      </patternFill>
    </fill>
    <fill>
      <patternFill patternType="solid">
        <fgColor rgb="FF92D050"/>
        <bgColor indexed="64"/>
      </patternFill>
    </fill>
    <fill>
      <patternFill patternType="solid">
        <fgColor rgb="FF1D1B11"/>
        <bgColor indexed="64"/>
      </patternFill>
    </fill>
    <fill>
      <patternFill patternType="solid">
        <fgColor theme="0" tint="-0.249977111117893"/>
        <bgColor indexed="64"/>
      </patternFill>
    </fill>
    <fill>
      <patternFill patternType="solid">
        <fgColor rgb="FF00CC00"/>
        <bgColor indexed="64"/>
      </patternFill>
    </fill>
    <fill>
      <patternFill patternType="solid">
        <fgColor theme="1" tint="4.9989318521683403E-2"/>
        <bgColor indexed="64"/>
      </patternFill>
    </fill>
    <fill>
      <patternFill patternType="solid">
        <fgColor theme="8" tint="-0.249977111117893"/>
        <bgColor indexed="64"/>
      </patternFill>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66FF33"/>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1"/>
        <bgColor indexed="64"/>
      </patternFill>
    </fill>
    <fill>
      <patternFill patternType="solid">
        <fgColor theme="4"/>
        <bgColor theme="4"/>
      </patternFill>
    </fill>
    <fill>
      <patternFill patternType="solid">
        <fgColor theme="4" tint="0.39997558519241921"/>
        <bgColor indexed="64"/>
      </patternFill>
    </fill>
    <fill>
      <patternFill patternType="solid">
        <fgColor indexed="18"/>
        <bgColor indexed="9"/>
      </patternFill>
    </fill>
    <fill>
      <patternFill patternType="solid">
        <fgColor indexed="54"/>
        <bgColor indexed="9"/>
      </patternFill>
    </fill>
    <fill>
      <patternFill patternType="solid">
        <fgColor indexed="17"/>
        <bgColor indexed="9"/>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medium">
        <color indexed="64"/>
      </top>
      <bottom/>
      <diagonal/>
    </border>
  </borders>
  <cellStyleXfs count="45">
    <xf numFmtId="0" fontId="0" fillId="0" borderId="0"/>
    <xf numFmtId="0" fontId="28" fillId="0" borderId="0" applyNumberFormat="0" applyFill="0" applyBorder="0" applyAlignment="0" applyProtection="0"/>
    <xf numFmtId="0" fontId="31" fillId="0" borderId="0" applyNumberFormat="0" applyFill="0" applyBorder="0" applyAlignment="0" applyProtection="0"/>
    <xf numFmtId="0" fontId="32" fillId="0" borderId="19" applyNumberFormat="0" applyFill="0" applyAlignment="0" applyProtection="0"/>
    <xf numFmtId="0" fontId="33" fillId="0" borderId="20" applyNumberFormat="0" applyFill="0" applyAlignment="0" applyProtection="0"/>
    <xf numFmtId="0" fontId="34" fillId="0" borderId="21" applyNumberFormat="0" applyFill="0" applyAlignment="0" applyProtection="0"/>
    <xf numFmtId="0" fontId="34" fillId="0" borderId="0" applyNumberFormat="0" applyFill="0" applyBorder="0" applyAlignment="0" applyProtection="0"/>
    <xf numFmtId="0" fontId="35" fillId="24" borderId="0" applyNumberFormat="0" applyBorder="0" applyAlignment="0" applyProtection="0"/>
    <xf numFmtId="0" fontId="36" fillId="25" borderId="0" applyNumberFormat="0" applyBorder="0" applyAlignment="0" applyProtection="0"/>
    <xf numFmtId="0" fontId="37" fillId="26" borderId="0" applyNumberFormat="0" applyBorder="0" applyAlignment="0" applyProtection="0"/>
    <xf numFmtId="0" fontId="38" fillId="27" borderId="22" applyNumberFormat="0" applyAlignment="0" applyProtection="0"/>
    <xf numFmtId="0" fontId="39" fillId="28" borderId="23" applyNumberFormat="0" applyAlignment="0" applyProtection="0"/>
    <xf numFmtId="0" fontId="40" fillId="28" borderId="22" applyNumberFormat="0" applyAlignment="0" applyProtection="0"/>
    <xf numFmtId="0" fontId="41" fillId="0" borderId="24" applyNumberFormat="0" applyFill="0" applyAlignment="0" applyProtection="0"/>
    <xf numFmtId="0" fontId="16" fillId="29" borderId="25" applyNumberFormat="0" applyAlignment="0" applyProtection="0"/>
    <xf numFmtId="0" fontId="21" fillId="0" borderId="0" applyNumberFormat="0" applyFill="0" applyBorder="0" applyAlignment="0" applyProtection="0"/>
    <xf numFmtId="0" fontId="30" fillId="30" borderId="26" applyNumberFormat="0" applyFont="0" applyAlignment="0" applyProtection="0"/>
    <xf numFmtId="0" fontId="42" fillId="0" borderId="0" applyNumberFormat="0" applyFill="0" applyBorder="0" applyAlignment="0" applyProtection="0"/>
    <xf numFmtId="0" fontId="1" fillId="0" borderId="27" applyNumberFormat="0" applyFill="0" applyAlignment="0" applyProtection="0"/>
    <xf numFmtId="0" fontId="14" fillId="31" borderId="0" applyNumberFormat="0" applyBorder="0" applyAlignment="0" applyProtection="0"/>
    <xf numFmtId="0" fontId="30" fillId="32" borderId="0" applyNumberFormat="0" applyBorder="0" applyAlignment="0" applyProtection="0"/>
    <xf numFmtId="0" fontId="30" fillId="33" borderId="0" applyNumberFormat="0" applyBorder="0" applyAlignment="0" applyProtection="0"/>
    <xf numFmtId="0" fontId="14" fillId="34" borderId="0" applyNumberFormat="0" applyBorder="0" applyAlignment="0" applyProtection="0"/>
    <xf numFmtId="0" fontId="14" fillId="35" borderId="0" applyNumberFormat="0" applyBorder="0" applyAlignment="0" applyProtection="0"/>
    <xf numFmtId="0" fontId="30" fillId="36" borderId="0" applyNumberFormat="0" applyBorder="0" applyAlignment="0" applyProtection="0"/>
    <xf numFmtId="0" fontId="30" fillId="37" borderId="0" applyNumberFormat="0" applyBorder="0" applyAlignment="0" applyProtection="0"/>
    <xf numFmtId="0" fontId="14" fillId="38" borderId="0" applyNumberFormat="0" applyBorder="0" applyAlignment="0" applyProtection="0"/>
    <xf numFmtId="0" fontId="14" fillId="39" borderId="0" applyNumberFormat="0" applyBorder="0" applyAlignment="0" applyProtection="0"/>
    <xf numFmtId="0" fontId="30" fillId="40" borderId="0" applyNumberFormat="0" applyBorder="0" applyAlignment="0" applyProtection="0"/>
    <xf numFmtId="0" fontId="30" fillId="41" borderId="0" applyNumberFormat="0" applyBorder="0" applyAlignment="0" applyProtection="0"/>
    <xf numFmtId="0" fontId="14" fillId="42" borderId="0" applyNumberFormat="0" applyBorder="0" applyAlignment="0" applyProtection="0"/>
    <xf numFmtId="0" fontId="14" fillId="43" borderId="0" applyNumberFormat="0" applyBorder="0" applyAlignment="0" applyProtection="0"/>
    <xf numFmtId="0" fontId="30" fillId="44" borderId="0" applyNumberFormat="0" applyBorder="0" applyAlignment="0" applyProtection="0"/>
    <xf numFmtId="0" fontId="30" fillId="45" borderId="0" applyNumberFormat="0" applyBorder="0" applyAlignment="0" applyProtection="0"/>
    <xf numFmtId="0" fontId="14" fillId="46" borderId="0" applyNumberFormat="0" applyBorder="0" applyAlignment="0" applyProtection="0"/>
    <xf numFmtId="0" fontId="14" fillId="47" borderId="0" applyNumberFormat="0" applyBorder="0" applyAlignment="0" applyProtection="0"/>
    <xf numFmtId="0" fontId="30" fillId="48" borderId="0" applyNumberFormat="0" applyBorder="0" applyAlignment="0" applyProtection="0"/>
    <xf numFmtId="0" fontId="30" fillId="49" borderId="0" applyNumberFormat="0" applyBorder="0" applyAlignment="0" applyProtection="0"/>
    <xf numFmtId="0" fontId="14" fillId="50" borderId="0" applyNumberFormat="0" applyBorder="0" applyAlignment="0" applyProtection="0"/>
    <xf numFmtId="0" fontId="14" fillId="51" borderId="0" applyNumberFormat="0" applyBorder="0" applyAlignment="0" applyProtection="0"/>
    <xf numFmtId="0" fontId="30" fillId="52" borderId="0" applyNumberFormat="0" applyBorder="0" applyAlignment="0" applyProtection="0"/>
    <xf numFmtId="0" fontId="30" fillId="53" borderId="0" applyNumberFormat="0" applyBorder="0" applyAlignment="0" applyProtection="0"/>
    <xf numFmtId="0" fontId="14" fillId="54" borderId="0" applyNumberFormat="0" applyBorder="0" applyAlignment="0" applyProtection="0"/>
    <xf numFmtId="0" fontId="52" fillId="0" borderId="0"/>
    <xf numFmtId="9" fontId="30" fillId="0" borderId="0" applyFont="0" applyFill="0" applyBorder="0" applyAlignment="0" applyProtection="0"/>
  </cellStyleXfs>
  <cellXfs count="492">
    <xf numFmtId="0" fontId="0" fillId="0" borderId="0" xfId="0"/>
    <xf numFmtId="0" fontId="0" fillId="0" borderId="0" xfId="0" applyAlignment="1">
      <alignment horizontal="left" vertical="top" wrapText="1"/>
    </xf>
    <xf numFmtId="0" fontId="1" fillId="0" borderId="0" xfId="0" applyFont="1" applyAlignment="1">
      <alignment horizontal="center" vertical="top" wrapText="1"/>
    </xf>
    <xf numFmtId="0" fontId="1" fillId="0" borderId="0" xfId="0" applyFont="1" applyAlignment="1">
      <alignment horizontal="left" vertical="center" wrapText="1"/>
    </xf>
    <xf numFmtId="0" fontId="1" fillId="0" borderId="0" xfId="0" applyFont="1" applyAlignment="1">
      <alignment horizontal="center" vertical="center" wrapText="1"/>
    </xf>
    <xf numFmtId="0" fontId="3" fillId="0" borderId="0" xfId="0" applyFont="1" applyFill="1" applyBorder="1" applyAlignment="1" applyProtection="1">
      <alignment horizontal="left" vertical="center" wrapText="1" indent="1"/>
      <protection locked="0"/>
    </xf>
    <xf numFmtId="0" fontId="0" fillId="0" borderId="0" xfId="0" applyFont="1" applyFill="1" applyBorder="1" applyAlignment="1" applyProtection="1">
      <alignment horizontal="left" vertical="center" wrapText="1"/>
      <protection locked="0"/>
    </xf>
    <xf numFmtId="0" fontId="1" fillId="0" borderId="0" xfId="0" applyFont="1" applyFill="1" applyBorder="1" applyAlignment="1" applyProtection="1">
      <alignment horizontal="center" vertical="top" wrapText="1"/>
      <protection locked="0"/>
    </xf>
    <xf numFmtId="0" fontId="0" fillId="0" borderId="0" xfId="0" applyFill="1" applyBorder="1" applyAlignment="1" applyProtection="1">
      <alignment horizontal="left" vertical="top" wrapText="1"/>
      <protection locked="0"/>
    </xf>
    <xf numFmtId="0" fontId="5" fillId="2" borderId="3" xfId="0" applyFont="1" applyFill="1" applyBorder="1" applyAlignment="1" applyProtection="1">
      <alignment horizontal="center" vertical="center" wrapText="1"/>
      <protection locked="0"/>
    </xf>
    <xf numFmtId="0" fontId="1" fillId="0" borderId="1" xfId="0" applyFont="1" applyBorder="1" applyAlignment="1" applyProtection="1">
      <alignment horizontal="center" vertical="center" wrapText="1"/>
      <protection locked="0"/>
    </xf>
    <xf numFmtId="0" fontId="0" fillId="0" borderId="0" xfId="0" applyAlignment="1">
      <alignment horizontal="left" vertical="top" wrapText="1"/>
    </xf>
    <xf numFmtId="0" fontId="0" fillId="0" borderId="0" xfId="0" applyAlignment="1">
      <alignment horizontal="center" vertical="center" wrapText="1"/>
    </xf>
    <xf numFmtId="0" fontId="5" fillId="2" borderId="5" xfId="0" applyFont="1" applyFill="1" applyBorder="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horizontal="center" vertical="center" wrapText="1"/>
    </xf>
    <xf numFmtId="0" fontId="5" fillId="2" borderId="3" xfId="0" applyFont="1" applyFill="1" applyBorder="1" applyAlignment="1">
      <alignment horizontal="center" vertical="center" wrapText="1"/>
    </xf>
    <xf numFmtId="0" fontId="5" fillId="2" borderId="3" xfId="0" applyFont="1" applyFill="1" applyBorder="1" applyAlignment="1">
      <alignment horizontal="left" vertical="center" wrapText="1"/>
    </xf>
    <xf numFmtId="0" fontId="5" fillId="2" borderId="1" xfId="0" applyFont="1" applyFill="1" applyBorder="1" applyAlignment="1">
      <alignment horizontal="center" vertical="center" wrapText="1"/>
    </xf>
    <xf numFmtId="0" fontId="1" fillId="12" borderId="1" xfId="0" applyFont="1" applyFill="1" applyBorder="1" applyAlignment="1">
      <alignment vertical="top" wrapText="1"/>
    </xf>
    <xf numFmtId="0" fontId="17" fillId="12" borderId="1" xfId="0" applyFont="1" applyFill="1" applyBorder="1" applyAlignment="1">
      <alignment horizontal="left" vertical="top" wrapText="1"/>
    </xf>
    <xf numFmtId="0" fontId="1" fillId="8" borderId="1" xfId="0" applyFont="1" applyFill="1" applyBorder="1" applyAlignment="1">
      <alignment vertical="top" wrapText="1"/>
    </xf>
    <xf numFmtId="0" fontId="17" fillId="8" borderId="1" xfId="0" applyFont="1" applyFill="1" applyBorder="1" applyAlignment="1">
      <alignment horizontal="left" vertical="top" wrapText="1"/>
    </xf>
    <xf numFmtId="0" fontId="1" fillId="13" borderId="1" xfId="0" applyFont="1" applyFill="1" applyBorder="1" applyAlignment="1">
      <alignment vertical="top" wrapText="1"/>
    </xf>
    <xf numFmtId="0" fontId="0" fillId="13" borderId="1" xfId="0" applyFill="1" applyBorder="1" applyAlignment="1">
      <alignment horizontal="left" vertical="top" wrapText="1"/>
    </xf>
    <xf numFmtId="0" fontId="1" fillId="14" borderId="1" xfId="0" applyFont="1" applyFill="1" applyBorder="1" applyAlignment="1">
      <alignment vertical="top" wrapText="1"/>
    </xf>
    <xf numFmtId="0" fontId="0" fillId="14" borderId="1" xfId="0" applyFill="1" applyBorder="1" applyAlignment="1">
      <alignment horizontal="left" vertical="top" wrapText="1"/>
    </xf>
    <xf numFmtId="0" fontId="17" fillId="14" borderId="1" xfId="0" applyFont="1" applyFill="1" applyBorder="1" applyAlignment="1">
      <alignment horizontal="left" vertical="top" wrapText="1"/>
    </xf>
    <xf numFmtId="0" fontId="1" fillId="11" borderId="1" xfId="0" applyFont="1" applyFill="1" applyBorder="1" applyAlignment="1">
      <alignment vertical="top" wrapText="1"/>
    </xf>
    <xf numFmtId="0" fontId="0" fillId="11" borderId="1" xfId="0" applyFill="1" applyBorder="1" applyAlignment="1">
      <alignment horizontal="left" vertical="top" wrapText="1"/>
    </xf>
    <xf numFmtId="0" fontId="1" fillId="15" borderId="1" xfId="0" applyFont="1" applyFill="1" applyBorder="1" applyAlignment="1">
      <alignment vertical="top" wrapText="1"/>
    </xf>
    <xf numFmtId="0" fontId="0" fillId="15" borderId="1" xfId="0" applyFill="1" applyBorder="1" applyAlignment="1">
      <alignment horizontal="left" vertical="top" wrapText="1"/>
    </xf>
    <xf numFmtId="0" fontId="1" fillId="16" borderId="1" xfId="0" applyFont="1" applyFill="1" applyBorder="1" applyAlignment="1">
      <alignment vertical="top" wrapText="1"/>
    </xf>
    <xf numFmtId="0" fontId="0" fillId="16" borderId="1" xfId="0" applyFill="1" applyBorder="1" applyAlignment="1">
      <alignment horizontal="left" vertical="top" wrapText="1"/>
    </xf>
    <xf numFmtId="0" fontId="17" fillId="16" borderId="1" xfId="0" applyFont="1" applyFill="1" applyBorder="1" applyAlignment="1">
      <alignment horizontal="left" vertical="top" wrapText="1"/>
    </xf>
    <xf numFmtId="0" fontId="16" fillId="17" borderId="0" xfId="0" applyFont="1" applyFill="1" applyAlignment="1">
      <alignment horizontal="center" vertical="center" wrapText="1"/>
    </xf>
    <xf numFmtId="0" fontId="5" fillId="2" borderId="5" xfId="0" applyFont="1" applyFill="1" applyBorder="1" applyAlignment="1">
      <alignment vertical="top" wrapText="1"/>
    </xf>
    <xf numFmtId="0" fontId="5" fillId="2" borderId="6" xfId="0" applyFont="1" applyFill="1" applyBorder="1" applyAlignment="1">
      <alignment vertical="center" wrapText="1"/>
    </xf>
    <xf numFmtId="0" fontId="5" fillId="2" borderId="7" xfId="0" applyFont="1" applyFill="1" applyBorder="1" applyAlignment="1">
      <alignment vertical="center" wrapText="1"/>
    </xf>
    <xf numFmtId="0" fontId="1" fillId="12" borderId="1" xfId="0" applyFont="1" applyFill="1" applyBorder="1" applyAlignment="1">
      <alignment horizontal="center" vertical="center" wrapText="1"/>
    </xf>
    <xf numFmtId="0" fontId="0" fillId="12" borderId="1" xfId="0" applyFill="1" applyBorder="1" applyAlignment="1">
      <alignment horizontal="left" vertical="top" wrapText="1"/>
    </xf>
    <xf numFmtId="0" fontId="0" fillId="12" borderId="1" xfId="0" applyFill="1" applyBorder="1" applyAlignment="1">
      <alignment horizontal="center" vertical="top" wrapText="1"/>
    </xf>
    <xf numFmtId="0" fontId="0" fillId="12" borderId="1" xfId="0" applyFill="1" applyBorder="1" applyAlignment="1">
      <alignment wrapText="1"/>
    </xf>
    <xf numFmtId="0" fontId="0" fillId="0" borderId="0" xfId="0" applyAlignment="1">
      <alignment wrapText="1"/>
    </xf>
    <xf numFmtId="0" fontId="1" fillId="8" borderId="1" xfId="0" applyFont="1" applyFill="1" applyBorder="1" applyAlignment="1">
      <alignment horizontal="center" vertical="center" wrapText="1"/>
    </xf>
    <xf numFmtId="0" fontId="0" fillId="8" borderId="1" xfId="0" applyFill="1" applyBorder="1" applyAlignment="1">
      <alignment horizontal="left" vertical="top" wrapText="1"/>
    </xf>
    <xf numFmtId="0" fontId="0" fillId="8" borderId="1" xfId="0" applyFill="1" applyBorder="1" applyAlignment="1">
      <alignment horizontal="center" vertical="top" wrapText="1"/>
    </xf>
    <xf numFmtId="0" fontId="0" fillId="8" borderId="1" xfId="0" applyFill="1" applyBorder="1" applyAlignment="1">
      <alignment wrapText="1"/>
    </xf>
    <xf numFmtId="0" fontId="1" fillId="13" borderId="1" xfId="0" applyFont="1" applyFill="1" applyBorder="1" applyAlignment="1">
      <alignment horizontal="center" vertical="center" wrapText="1"/>
    </xf>
    <xf numFmtId="0" fontId="0" fillId="13" borderId="1" xfId="0" applyFill="1" applyBorder="1" applyAlignment="1">
      <alignment horizontal="center" vertical="top" wrapText="1"/>
    </xf>
    <xf numFmtId="0" fontId="0" fillId="13" borderId="1" xfId="0" applyFill="1" applyBorder="1" applyAlignment="1">
      <alignment wrapText="1"/>
    </xf>
    <xf numFmtId="0" fontId="1" fillId="14" borderId="1" xfId="0" applyFont="1" applyFill="1" applyBorder="1" applyAlignment="1">
      <alignment horizontal="center" vertical="center" wrapText="1"/>
    </xf>
    <xf numFmtId="0" fontId="0" fillId="14" borderId="1" xfId="0" applyFill="1" applyBorder="1" applyAlignment="1">
      <alignment horizontal="center" vertical="top" wrapText="1"/>
    </xf>
    <xf numFmtId="0" fontId="0" fillId="14" borderId="1" xfId="0" applyFill="1" applyBorder="1" applyAlignment="1">
      <alignment wrapText="1"/>
    </xf>
    <xf numFmtId="0" fontId="1" fillId="11" borderId="1" xfId="0" applyFont="1" applyFill="1" applyBorder="1" applyAlignment="1">
      <alignment horizontal="center" vertical="center" wrapText="1"/>
    </xf>
    <xf numFmtId="0" fontId="0" fillId="11" borderId="1" xfId="0" applyFill="1" applyBorder="1" applyAlignment="1">
      <alignment horizontal="center" vertical="top" wrapText="1"/>
    </xf>
    <xf numFmtId="0" fontId="0" fillId="11" borderId="1" xfId="0" applyFill="1" applyBorder="1" applyAlignment="1">
      <alignment wrapText="1"/>
    </xf>
    <xf numFmtId="0" fontId="1" fillId="15" borderId="1" xfId="0" applyFont="1" applyFill="1" applyBorder="1" applyAlignment="1">
      <alignment horizontal="center" vertical="center" wrapText="1"/>
    </xf>
    <xf numFmtId="0" fontId="0" fillId="15" borderId="1" xfId="0" applyFill="1" applyBorder="1" applyAlignment="1">
      <alignment horizontal="center" vertical="top" wrapText="1"/>
    </xf>
    <xf numFmtId="0" fontId="0" fillId="15" borderId="1" xfId="0" applyFill="1" applyBorder="1" applyAlignment="1">
      <alignment wrapText="1"/>
    </xf>
    <xf numFmtId="0" fontId="1" fillId="17" borderId="1" xfId="0" applyFont="1" applyFill="1" applyBorder="1" applyAlignment="1">
      <alignment horizontal="center" vertical="center" wrapText="1"/>
    </xf>
    <xf numFmtId="0" fontId="1" fillId="17" borderId="1" xfId="0" applyFont="1" applyFill="1" applyBorder="1" applyAlignment="1">
      <alignment vertical="top" wrapText="1"/>
    </xf>
    <xf numFmtId="0" fontId="0" fillId="17" borderId="1" xfId="0" applyFill="1" applyBorder="1" applyAlignment="1">
      <alignment horizontal="left" vertical="top" wrapText="1"/>
    </xf>
    <xf numFmtId="0" fontId="0" fillId="17" borderId="1" xfId="0" applyFill="1" applyBorder="1" applyAlignment="1">
      <alignment horizontal="center" vertical="top" wrapText="1"/>
    </xf>
    <xf numFmtId="0" fontId="0" fillId="17" borderId="1" xfId="0" applyFill="1" applyBorder="1" applyAlignment="1">
      <alignment wrapText="1"/>
    </xf>
    <xf numFmtId="0" fontId="1" fillId="16" borderId="1" xfId="0" applyFont="1" applyFill="1" applyBorder="1" applyAlignment="1">
      <alignment horizontal="center" vertical="center" wrapText="1"/>
    </xf>
    <xf numFmtId="0" fontId="0" fillId="16" borderId="1" xfId="0" applyFill="1" applyBorder="1" applyAlignment="1">
      <alignment horizontal="center" vertical="top" wrapText="1"/>
    </xf>
    <xf numFmtId="0" fontId="0" fillId="16" borderId="1" xfId="0" applyFill="1" applyBorder="1" applyAlignment="1">
      <alignment wrapText="1"/>
    </xf>
    <xf numFmtId="0" fontId="1" fillId="0" borderId="0" xfId="0" applyFont="1" applyAlignment="1">
      <alignment wrapText="1"/>
    </xf>
    <xf numFmtId="0" fontId="0" fillId="0" borderId="0" xfId="0" applyAlignment="1">
      <alignment horizontal="center" vertical="top" wrapText="1"/>
    </xf>
    <xf numFmtId="0" fontId="7" fillId="3" borderId="1" xfId="0" applyFont="1" applyFill="1" applyBorder="1" applyAlignment="1" applyProtection="1">
      <alignment horizontal="left" vertical="center" wrapText="1"/>
      <protection locked="0"/>
    </xf>
    <xf numFmtId="0" fontId="0" fillId="0" borderId="0" xfId="0" applyProtection="1">
      <protection locked="0"/>
    </xf>
    <xf numFmtId="0" fontId="3" fillId="2" borderId="1" xfId="0" applyFont="1" applyFill="1" applyBorder="1" applyAlignment="1" applyProtection="1">
      <alignment horizontal="left" vertical="center" wrapText="1" indent="1"/>
      <protection locked="0"/>
    </xf>
    <xf numFmtId="0" fontId="0" fillId="0" borderId="0" xfId="0" applyFont="1" applyBorder="1" applyAlignment="1" applyProtection="1">
      <alignment horizontal="left" vertical="center" wrapText="1"/>
      <protection locked="0"/>
    </xf>
    <xf numFmtId="0" fontId="3" fillId="2" borderId="2" xfId="0" applyFont="1" applyFill="1" applyBorder="1" applyAlignment="1" applyProtection="1">
      <alignment horizontal="center" vertical="center" wrapText="1"/>
      <protection locked="0"/>
    </xf>
    <xf numFmtId="0" fontId="3" fillId="2"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left" vertical="center" wrapText="1"/>
      <protection locked="0"/>
    </xf>
    <xf numFmtId="0" fontId="5" fillId="2" borderId="3" xfId="0" applyFont="1" applyFill="1" applyBorder="1" applyAlignment="1" applyProtection="1">
      <alignment horizontal="left" vertical="center" wrapText="1"/>
      <protection locked="0"/>
    </xf>
    <xf numFmtId="9" fontId="13" fillId="3" borderId="1" xfId="0" applyNumberFormat="1" applyFont="1" applyFill="1" applyBorder="1" applyAlignment="1" applyProtection="1">
      <alignment horizontal="center" vertical="center" wrapText="1"/>
      <protection locked="0"/>
    </xf>
    <xf numFmtId="0" fontId="0" fillId="0" borderId="0" xfId="0" applyBorder="1" applyAlignment="1" applyProtection="1">
      <alignment horizontal="left" vertical="center" wrapText="1"/>
      <protection locked="0"/>
    </xf>
    <xf numFmtId="0" fontId="5" fillId="2" borderId="11" xfId="0" applyFont="1" applyFill="1" applyBorder="1" applyAlignment="1" applyProtection="1">
      <alignment horizontal="left" vertical="center" wrapText="1"/>
      <protection locked="0"/>
    </xf>
    <xf numFmtId="0" fontId="1" fillId="3" borderId="2" xfId="0" applyFont="1" applyFill="1" applyBorder="1" applyAlignment="1" applyProtection="1">
      <alignment horizontal="center" vertical="center" wrapText="1"/>
      <protection locked="0"/>
    </xf>
    <xf numFmtId="0" fontId="15" fillId="10" borderId="12" xfId="0" applyFont="1" applyFill="1" applyBorder="1" applyAlignment="1" applyProtection="1">
      <alignment horizontal="center" vertical="center" wrapText="1"/>
      <protection locked="0"/>
    </xf>
    <xf numFmtId="0" fontId="15" fillId="10" borderId="13" xfId="0" applyFont="1" applyFill="1" applyBorder="1" applyAlignment="1" applyProtection="1">
      <alignment horizontal="center" vertical="center" wrapText="1"/>
      <protection locked="0"/>
    </xf>
    <xf numFmtId="0" fontId="0" fillId="0" borderId="0" xfId="0" applyFont="1" applyFill="1" applyBorder="1" applyAlignment="1" applyProtection="1">
      <alignment horizontal="left" vertical="top" wrapText="1"/>
      <protection locked="0"/>
    </xf>
    <xf numFmtId="0" fontId="1" fillId="0" borderId="0" xfId="0" applyFont="1" applyFill="1" applyBorder="1" applyAlignment="1" applyProtection="1">
      <alignment horizontal="left" vertical="top" wrapText="1"/>
      <protection locked="0"/>
    </xf>
    <xf numFmtId="0" fontId="5" fillId="2" borderId="3" xfId="0" applyFont="1" applyFill="1" applyBorder="1" applyAlignment="1" applyProtection="1">
      <alignment horizontal="left" vertical="top" wrapText="1"/>
      <protection locked="0"/>
    </xf>
    <xf numFmtId="0" fontId="9" fillId="2" borderId="3" xfId="0" applyFont="1" applyFill="1" applyBorder="1" applyAlignment="1" applyProtection="1">
      <alignment horizontal="center" vertical="center" wrapText="1"/>
      <protection locked="0"/>
    </xf>
    <xf numFmtId="0" fontId="7" fillId="3" borderId="1" xfId="0" applyFont="1" applyFill="1" applyBorder="1" applyAlignment="1" applyProtection="1">
      <alignment horizontal="center" vertical="center" wrapText="1"/>
      <protection locked="0"/>
    </xf>
    <xf numFmtId="0" fontId="7" fillId="5"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8" fillId="3" borderId="1" xfId="0" applyFont="1" applyFill="1" applyBorder="1" applyAlignment="1" applyProtection="1">
      <alignment horizontal="left" vertical="top" wrapText="1"/>
      <protection locked="0"/>
    </xf>
    <xf numFmtId="0" fontId="7" fillId="3" borderId="1" xfId="0" applyFont="1" applyFill="1" applyBorder="1" applyAlignment="1" applyProtection="1">
      <alignment horizontal="left" vertical="top" wrapText="1"/>
      <protection locked="0"/>
    </xf>
    <xf numFmtId="0" fontId="7" fillId="3" borderId="3" xfId="0" applyFont="1" applyFill="1" applyBorder="1" applyAlignment="1" applyProtection="1">
      <alignment horizontal="center" vertical="center" wrapText="1"/>
      <protection locked="0"/>
    </xf>
    <xf numFmtId="0" fontId="7" fillId="3" borderId="3" xfId="0" applyFont="1" applyFill="1" applyBorder="1" applyAlignment="1" applyProtection="1">
      <alignment horizontal="right" vertical="center" wrapText="1"/>
      <protection locked="0"/>
    </xf>
    <xf numFmtId="0" fontId="8" fillId="3" borderId="3" xfId="0" applyFont="1" applyFill="1" applyBorder="1" applyAlignment="1" applyProtection="1">
      <alignment horizontal="left" vertical="center" wrapText="1"/>
      <protection locked="0"/>
    </xf>
    <xf numFmtId="0" fontId="7" fillId="3" borderId="3" xfId="0" applyFont="1" applyFill="1" applyBorder="1" applyAlignment="1" applyProtection="1">
      <alignment horizontal="left" vertical="top" wrapText="1"/>
      <protection locked="0"/>
    </xf>
    <xf numFmtId="0" fontId="8" fillId="3" borderId="3" xfId="0" applyFont="1" applyFill="1" applyBorder="1" applyAlignment="1" applyProtection="1">
      <alignment horizontal="left" vertical="top" wrapText="1"/>
      <protection locked="0"/>
    </xf>
    <xf numFmtId="0" fontId="7" fillId="19" borderId="1" xfId="0" applyFont="1" applyFill="1" applyBorder="1" applyAlignment="1" applyProtection="1">
      <alignment horizontal="center" vertical="center" wrapText="1"/>
      <protection locked="0"/>
    </xf>
    <xf numFmtId="0" fontId="8" fillId="3" borderId="0" xfId="0" applyFont="1" applyFill="1" applyAlignment="1" applyProtection="1">
      <alignment horizontal="left" vertical="top" wrapText="1"/>
      <protection locked="0"/>
    </xf>
    <xf numFmtId="0" fontId="20" fillId="3" borderId="1" xfId="0" applyFont="1" applyFill="1" applyBorder="1" applyAlignment="1" applyProtection="1">
      <alignment horizontal="left" vertical="center" wrapText="1"/>
      <protection locked="0"/>
    </xf>
    <xf numFmtId="0" fontId="12" fillId="0" borderId="0" xfId="0" applyFont="1" applyAlignment="1" applyProtection="1">
      <alignment horizontal="right" vertical="center" wrapText="1"/>
      <protection locked="0"/>
    </xf>
    <xf numFmtId="0" fontId="1" fillId="7" borderId="1" xfId="0" applyFont="1" applyFill="1" applyBorder="1" applyAlignment="1" applyProtection="1">
      <alignment horizontal="left" vertical="center" wrapText="1"/>
      <protection locked="0"/>
    </xf>
    <xf numFmtId="0" fontId="0" fillId="0" borderId="0" xfId="0" applyFont="1" applyAlignment="1" applyProtection="1">
      <alignment horizontal="left" vertical="center" indent="1"/>
      <protection locked="0"/>
    </xf>
    <xf numFmtId="0" fontId="1" fillId="0" borderId="0" xfId="0" applyFont="1" applyAlignment="1" applyProtection="1">
      <alignment horizontal="center" vertical="top"/>
      <protection locked="0"/>
    </xf>
    <xf numFmtId="9" fontId="22" fillId="9" borderId="1" xfId="0" applyNumberFormat="1" applyFont="1" applyFill="1" applyBorder="1" applyAlignment="1" applyProtection="1">
      <alignment horizontal="center" vertical="center" wrapText="1"/>
      <protection locked="0"/>
    </xf>
    <xf numFmtId="0" fontId="18" fillId="4" borderId="17" xfId="0" applyFont="1" applyFill="1" applyBorder="1" applyAlignment="1" applyProtection="1">
      <alignment vertical="center"/>
      <protection locked="0"/>
    </xf>
    <xf numFmtId="0" fontId="0" fillId="0" borderId="0" xfId="0" applyAlignment="1" applyProtection="1">
      <alignment horizontal="left" vertical="center" indent="1"/>
      <protection locked="0"/>
    </xf>
    <xf numFmtId="0" fontId="18" fillId="6" borderId="17" xfId="0" applyFont="1" applyFill="1" applyBorder="1" applyAlignment="1" applyProtection="1">
      <alignment vertical="center"/>
      <protection locked="0"/>
    </xf>
    <xf numFmtId="0" fontId="19" fillId="18" borderId="18" xfId="0" applyFont="1" applyFill="1" applyBorder="1" applyAlignment="1" applyProtection="1">
      <alignment vertical="center"/>
      <protection locked="0"/>
    </xf>
    <xf numFmtId="0" fontId="14" fillId="0" borderId="0" xfId="0" applyFont="1" applyProtection="1"/>
    <xf numFmtId="0" fontId="0" fillId="0" borderId="0" xfId="0" applyProtection="1"/>
    <xf numFmtId="0" fontId="2" fillId="0" borderId="0" xfId="0" applyFont="1" applyBorder="1" applyAlignment="1" applyProtection="1">
      <alignment horizontal="left" vertical="center" wrapText="1"/>
      <protection locked="0"/>
    </xf>
    <xf numFmtId="0" fontId="21" fillId="0" borderId="0" xfId="0" applyFont="1" applyProtection="1">
      <protection locked="0"/>
    </xf>
    <xf numFmtId="14" fontId="2" fillId="0" borderId="1" xfId="0" applyNumberFormat="1" applyFont="1" applyBorder="1" applyAlignment="1" applyProtection="1">
      <alignment horizontal="left" vertical="center" wrapText="1"/>
      <protection locked="0"/>
    </xf>
    <xf numFmtId="0" fontId="23" fillId="3" borderId="1" xfId="0" applyFont="1" applyFill="1" applyBorder="1" applyAlignment="1" applyProtection="1">
      <alignment horizontal="center" vertical="center" wrapText="1"/>
      <protection locked="0"/>
    </xf>
    <xf numFmtId="0" fontId="0" fillId="3" borderId="0" xfId="0" applyFill="1" applyAlignment="1">
      <alignment horizontal="left" vertical="top" wrapText="1"/>
    </xf>
    <xf numFmtId="0" fontId="5" fillId="2" borderId="1" xfId="0" applyFont="1" applyFill="1" applyBorder="1" applyAlignment="1">
      <alignment horizontal="left" vertical="center" wrapText="1" indent="1"/>
    </xf>
    <xf numFmtId="0" fontId="6" fillId="3" borderId="0" xfId="0" applyFont="1" applyFill="1" applyBorder="1" applyAlignment="1">
      <alignment horizontal="center" vertical="center" wrapText="1"/>
    </xf>
    <xf numFmtId="0" fontId="24" fillId="3" borderId="0" xfId="0" applyFont="1" applyFill="1" applyAlignment="1">
      <alignment horizontal="center" vertical="center" wrapText="1"/>
    </xf>
    <xf numFmtId="0" fontId="24" fillId="3" borderId="0" xfId="0" applyFont="1" applyFill="1" applyAlignment="1">
      <alignment horizontal="left" vertical="center" wrapText="1"/>
    </xf>
    <xf numFmtId="0" fontId="6" fillId="3" borderId="0" xfId="0" applyFont="1" applyFill="1" applyAlignment="1">
      <alignment horizontal="left" vertical="center" wrapText="1"/>
    </xf>
    <xf numFmtId="0" fontId="7" fillId="5" borderId="1" xfId="0" applyFont="1" applyFill="1" applyBorder="1" applyAlignment="1">
      <alignment horizontal="center" vertical="center" wrapText="1"/>
    </xf>
    <xf numFmtId="0" fontId="8" fillId="0" borderId="0" xfId="0" applyFont="1" applyFill="1" applyAlignment="1">
      <alignment horizontal="left" vertical="center" wrapText="1"/>
    </xf>
    <xf numFmtId="0" fontId="8" fillId="0" borderId="0" xfId="0" applyFont="1" applyFill="1" applyAlignment="1">
      <alignment horizontal="left" vertical="top" wrapText="1"/>
    </xf>
    <xf numFmtId="0" fontId="1" fillId="3" borderId="0" xfId="0" applyFont="1" applyFill="1" applyAlignment="1">
      <alignment horizontal="center" vertical="center" wrapText="1"/>
    </xf>
    <xf numFmtId="0" fontId="1" fillId="3" borderId="0" xfId="0" applyFont="1" applyFill="1" applyAlignment="1">
      <alignment horizontal="left" vertical="center" wrapText="1"/>
    </xf>
    <xf numFmtId="0" fontId="1" fillId="3" borderId="0" xfId="0" applyFont="1" applyFill="1" applyBorder="1" applyAlignment="1">
      <alignment horizontal="center" vertical="center" wrapText="1"/>
    </xf>
    <xf numFmtId="0" fontId="26" fillId="3" borderId="0" xfId="0" applyFont="1" applyFill="1" applyBorder="1" applyAlignment="1">
      <alignment horizontal="left"/>
    </xf>
    <xf numFmtId="0" fontId="27" fillId="3" borderId="0" xfId="0" applyFont="1" applyFill="1" applyBorder="1" applyAlignment="1">
      <alignment horizontal="left"/>
    </xf>
    <xf numFmtId="0" fontId="0" fillId="20" borderId="1" xfId="0" applyFill="1" applyBorder="1" applyAlignment="1">
      <alignment horizontal="center"/>
    </xf>
    <xf numFmtId="0" fontId="0" fillId="4" borderId="1" xfId="0" applyFill="1" applyBorder="1" applyAlignment="1">
      <alignment horizontal="center" vertical="center"/>
    </xf>
    <xf numFmtId="0" fontId="14" fillId="6" borderId="1" xfId="0" applyFont="1" applyFill="1" applyBorder="1" applyAlignment="1">
      <alignment horizontal="center" vertical="center"/>
    </xf>
    <xf numFmtId="0" fontId="14" fillId="21" borderId="1" xfId="0" applyFont="1" applyFill="1" applyBorder="1" applyAlignment="1">
      <alignment horizontal="center" vertical="center"/>
    </xf>
    <xf numFmtId="0" fontId="1" fillId="3" borderId="0" xfId="0" applyFont="1" applyFill="1" applyBorder="1" applyAlignment="1">
      <alignment horizontal="left" vertical="center" wrapText="1"/>
    </xf>
    <xf numFmtId="0" fontId="1" fillId="0" borderId="0" xfId="0" applyFont="1" applyFill="1" applyAlignment="1">
      <alignment horizontal="center" vertical="center" wrapText="1"/>
    </xf>
    <xf numFmtId="0" fontId="1" fillId="0" borderId="0" xfId="0" applyFont="1" applyFill="1" applyAlignment="1">
      <alignment horizontal="left" vertical="center" wrapText="1"/>
    </xf>
    <xf numFmtId="0" fontId="1" fillId="8" borderId="1" xfId="0" applyFont="1" applyFill="1" applyBorder="1" applyAlignment="1">
      <alignment horizontal="left" vertical="center" wrapText="1"/>
    </xf>
    <xf numFmtId="0" fontId="29" fillId="0" borderId="0" xfId="0" applyFont="1"/>
    <xf numFmtId="0" fontId="0" fillId="0" borderId="0" xfId="0" applyBorder="1"/>
    <xf numFmtId="0" fontId="0" fillId="0" borderId="0" xfId="0" applyBorder="1" applyAlignment="1">
      <alignment horizontal="center"/>
    </xf>
    <xf numFmtId="0" fontId="0" fillId="0" borderId="0" xfId="0"/>
    <xf numFmtId="0" fontId="0" fillId="3" borderId="0" xfId="0" applyFill="1" applyBorder="1" applyAlignment="1">
      <alignment horizontal="left" vertical="top" wrapText="1"/>
    </xf>
    <xf numFmtId="0" fontId="0" fillId="0" borderId="0" xfId="0" applyFill="1" applyAlignment="1">
      <alignment horizontal="left" vertical="top" wrapText="1"/>
    </xf>
    <xf numFmtId="0" fontId="6" fillId="0" borderId="0" xfId="0" applyFont="1" applyFill="1" applyAlignment="1">
      <alignment horizontal="left" vertical="center" wrapText="1"/>
    </xf>
    <xf numFmtId="0" fontId="48" fillId="3" borderId="1" xfId="0" applyFont="1" applyFill="1" applyBorder="1" applyAlignment="1">
      <alignment horizontal="center" vertical="center" wrapText="1"/>
    </xf>
    <xf numFmtId="0" fontId="15" fillId="3"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5" borderId="1" xfId="0" applyFont="1" applyFill="1" applyBorder="1" applyAlignment="1">
      <alignment horizontal="center" vertical="center" wrapText="1"/>
    </xf>
    <xf numFmtId="0" fontId="49" fillId="4" borderId="1" xfId="0" applyFont="1" applyFill="1" applyBorder="1" applyAlignment="1">
      <alignment horizontal="center" vertical="center" wrapText="1"/>
    </xf>
    <xf numFmtId="0" fontId="8" fillId="56" borderId="1" xfId="0" applyFont="1" applyFill="1" applyBorder="1" applyAlignment="1">
      <alignment horizontal="center" vertical="center" wrapText="1"/>
    </xf>
    <xf numFmtId="10" fontId="0" fillId="0" borderId="0" xfId="0" applyNumberFormat="1" applyFill="1" applyAlignment="1">
      <alignment horizontal="left" vertical="top" wrapText="1"/>
    </xf>
    <xf numFmtId="0" fontId="6" fillId="3" borderId="0" xfId="0" applyFont="1" applyFill="1" applyBorder="1" applyAlignment="1">
      <alignment vertical="center" wrapText="1"/>
    </xf>
    <xf numFmtId="0" fontId="6" fillId="0" borderId="0" xfId="0" applyFont="1" applyFill="1" applyBorder="1" applyAlignment="1">
      <alignment vertical="center" wrapText="1"/>
    </xf>
    <xf numFmtId="0" fontId="6" fillId="3" borderId="0" xfId="0" applyFont="1" applyFill="1" applyBorder="1" applyAlignment="1">
      <alignment horizontal="left" vertical="center" wrapText="1"/>
    </xf>
    <xf numFmtId="0" fontId="6" fillId="0" borderId="0" xfId="0" applyFont="1" applyFill="1" applyBorder="1" applyAlignment="1">
      <alignment horizontal="left" vertical="center" wrapText="1"/>
    </xf>
    <xf numFmtId="0" fontId="24" fillId="3" borderId="1" xfId="0" applyFont="1" applyFill="1" applyBorder="1" applyAlignment="1">
      <alignment horizontal="left" vertical="center" wrapText="1" indent="1"/>
    </xf>
    <xf numFmtId="0" fontId="8" fillId="3" borderId="0" xfId="0" applyFont="1" applyFill="1" applyAlignment="1">
      <alignment horizontal="left" vertical="center" wrapText="1"/>
    </xf>
    <xf numFmtId="0" fontId="24" fillId="3" borderId="3" xfId="0" applyFont="1" applyFill="1" applyBorder="1" applyAlignment="1">
      <alignment horizontal="left" vertical="center" wrapText="1" indent="1"/>
    </xf>
    <xf numFmtId="0" fontId="6" fillId="3" borderId="1" xfId="0" applyFont="1" applyFill="1" applyBorder="1" applyAlignment="1">
      <alignment horizontal="left" vertical="center" wrapText="1" indent="1"/>
    </xf>
    <xf numFmtId="0" fontId="8" fillId="0" borderId="1" xfId="0" applyFont="1" applyFill="1" applyBorder="1" applyAlignment="1">
      <alignment horizontal="left" vertical="center" wrapText="1" indent="1"/>
    </xf>
    <xf numFmtId="0" fontId="25" fillId="8" borderId="7" xfId="0" applyFont="1" applyFill="1" applyBorder="1" applyAlignment="1">
      <alignment horizontal="left" vertical="center" wrapText="1"/>
    </xf>
    <xf numFmtId="0" fontId="25" fillId="8" borderId="1" xfId="0" applyFont="1" applyFill="1" applyBorder="1" applyAlignment="1">
      <alignment horizontal="left" vertical="center" wrapText="1"/>
    </xf>
    <xf numFmtId="0" fontId="7" fillId="3" borderId="1" xfId="0" applyFont="1" applyFill="1" applyBorder="1" applyAlignment="1">
      <alignment horizontal="left" vertical="center" wrapText="1" indent="1"/>
    </xf>
    <xf numFmtId="0" fontId="8" fillId="0" borderId="0" xfId="0" applyFont="1" applyFill="1" applyBorder="1" applyAlignment="1">
      <alignment horizontal="left" vertical="center" wrapText="1"/>
    </xf>
    <xf numFmtId="0" fontId="8" fillId="3" borderId="0" xfId="0" applyFont="1" applyFill="1" applyAlignment="1">
      <alignment horizontal="left" vertical="top" wrapText="1"/>
    </xf>
    <xf numFmtId="0" fontId="6" fillId="3" borderId="7" xfId="0" applyFont="1" applyFill="1" applyBorder="1" applyAlignment="1">
      <alignment horizontal="left" vertical="center" wrapText="1" indent="1"/>
    </xf>
    <xf numFmtId="0" fontId="1" fillId="8" borderId="1" xfId="0" applyFont="1" applyFill="1" applyBorder="1" applyAlignment="1">
      <alignment vertical="center" wrapText="1"/>
    </xf>
    <xf numFmtId="0" fontId="24" fillId="3" borderId="0" xfId="0" applyFont="1" applyFill="1" applyBorder="1" applyAlignment="1">
      <alignment horizontal="left" vertical="center" wrapText="1" indent="1"/>
    </xf>
    <xf numFmtId="0" fontId="6" fillId="3" borderId="0" xfId="0" applyFont="1" applyFill="1" applyBorder="1" applyAlignment="1">
      <alignment horizontal="left" vertical="center" wrapText="1" indent="1"/>
    </xf>
    <xf numFmtId="0" fontId="1" fillId="0" borderId="0" xfId="0" applyFont="1" applyFill="1" applyAlignment="1">
      <alignment horizontal="left" vertical="center" wrapText="1" indent="1"/>
    </xf>
    <xf numFmtId="0" fontId="6" fillId="3" borderId="0" xfId="0" applyFont="1" applyFill="1" applyAlignment="1">
      <alignment horizontal="left" vertical="center" wrapText="1" indent="1"/>
    </xf>
    <xf numFmtId="0" fontId="1" fillId="3" borderId="1" xfId="0" applyFont="1" applyFill="1" applyBorder="1" applyAlignment="1">
      <alignment horizontal="center" vertical="center" wrapText="1"/>
    </xf>
    <xf numFmtId="0" fontId="11" fillId="0" borderId="0" xfId="0" applyFont="1" applyAlignment="1" applyProtection="1">
      <alignment horizontal="center" vertical="center" wrapText="1"/>
      <protection locked="0"/>
    </xf>
    <xf numFmtId="0" fontId="6" fillId="0" borderId="0" xfId="0" applyFont="1" applyBorder="1"/>
    <xf numFmtId="0" fontId="6" fillId="0" borderId="0" xfId="0" applyFont="1" applyAlignment="1" applyProtection="1">
      <alignment horizontal="left" vertical="center" wrapText="1"/>
      <protection locked="0"/>
    </xf>
    <xf numFmtId="0" fontId="5" fillId="2" borderId="1" xfId="0" applyFont="1" applyFill="1" applyBorder="1" applyAlignment="1">
      <alignment horizontal="center" vertical="center" wrapText="1"/>
    </xf>
    <xf numFmtId="0" fontId="8" fillId="3" borderId="0" xfId="0" applyFont="1" applyFill="1" applyAlignment="1" applyProtection="1">
      <alignment horizontal="left" vertical="center" wrapText="1"/>
      <protection locked="0"/>
    </xf>
    <xf numFmtId="0" fontId="6" fillId="0" borderId="0" xfId="0" applyFont="1" applyBorder="1" applyAlignment="1" applyProtection="1">
      <alignment horizontal="left" vertical="center" wrapText="1"/>
      <protection locked="0"/>
    </xf>
    <xf numFmtId="0" fontId="8" fillId="0" borderId="0" xfId="0" applyFont="1" applyAlignment="1" applyProtection="1">
      <alignment horizontal="center" wrapText="1"/>
      <protection locked="0"/>
    </xf>
    <xf numFmtId="0" fontId="5" fillId="0" borderId="0" xfId="0" applyFont="1" applyFill="1" applyBorder="1" applyAlignment="1" applyProtection="1">
      <alignment horizontal="left" vertical="center" wrapText="1" indent="2"/>
      <protection locked="0"/>
    </xf>
    <xf numFmtId="2" fontId="6" fillId="0" borderId="1" xfId="0" applyNumberFormat="1" applyFont="1" applyBorder="1" applyAlignment="1" applyProtection="1">
      <alignment horizontal="center" vertical="center" wrapText="1"/>
      <protection locked="0"/>
    </xf>
    <xf numFmtId="0" fontId="6" fillId="3" borderId="0" xfId="0" applyFont="1" applyFill="1" applyBorder="1" applyAlignment="1" applyProtection="1">
      <alignment horizontal="left" vertical="top" wrapText="1"/>
      <protection locked="0"/>
    </xf>
    <xf numFmtId="0" fontId="6" fillId="3" borderId="0" xfId="0" applyFont="1" applyFill="1" applyBorder="1" applyAlignment="1" applyProtection="1">
      <alignment horizontal="left" vertical="center" wrapText="1"/>
      <protection locked="0"/>
    </xf>
    <xf numFmtId="0" fontId="6" fillId="0" borderId="0" xfId="0" applyFont="1" applyFill="1" applyBorder="1" applyAlignment="1" applyProtection="1">
      <alignment horizontal="left" vertical="top" wrapText="1"/>
      <protection locked="0"/>
    </xf>
    <xf numFmtId="2" fontId="6" fillId="3" borderId="1" xfId="0" applyNumberFormat="1" applyFont="1" applyFill="1" applyBorder="1" applyAlignment="1" applyProtection="1">
      <alignment horizontal="center" vertical="center" wrapText="1"/>
      <protection locked="0"/>
    </xf>
    <xf numFmtId="2" fontId="6" fillId="3" borderId="0" xfId="0" applyNumberFormat="1" applyFont="1" applyFill="1" applyBorder="1" applyAlignment="1" applyProtection="1">
      <alignment horizontal="center" vertical="center" wrapText="1"/>
      <protection locked="0"/>
    </xf>
    <xf numFmtId="0" fontId="5" fillId="0" borderId="0" xfId="0" applyFont="1" applyFill="1" applyBorder="1" applyAlignment="1" applyProtection="1">
      <alignment horizontal="left" vertical="center" wrapText="1" indent="1"/>
      <protection locked="0"/>
    </xf>
    <xf numFmtId="0" fontId="5" fillId="3" borderId="0" xfId="0" applyFont="1" applyFill="1" applyBorder="1" applyAlignment="1" applyProtection="1">
      <alignment horizontal="left" vertical="center" wrapText="1" indent="1"/>
      <protection locked="0"/>
    </xf>
    <xf numFmtId="0" fontId="54" fillId="0" borderId="0" xfId="0" applyFont="1" applyFill="1" applyBorder="1" applyAlignment="1" applyProtection="1">
      <alignment horizontal="left" vertical="center" wrapText="1"/>
      <protection locked="0"/>
    </xf>
    <xf numFmtId="0" fontId="53" fillId="0" borderId="0" xfId="0" applyFont="1" applyFill="1" applyBorder="1" applyAlignment="1" applyProtection="1">
      <alignment horizontal="left" vertical="center" wrapText="1"/>
      <protection locked="0"/>
    </xf>
    <xf numFmtId="0" fontId="6" fillId="0" borderId="0" xfId="0" applyFont="1" applyBorder="1" applyAlignment="1" applyProtection="1">
      <alignment horizontal="left" vertical="top" wrapText="1"/>
      <protection locked="0"/>
    </xf>
    <xf numFmtId="0" fontId="24" fillId="3" borderId="0" xfId="0" applyFont="1" applyFill="1" applyBorder="1" applyAlignment="1" applyProtection="1">
      <alignment horizontal="left" vertical="center" wrapText="1"/>
      <protection locked="0"/>
    </xf>
    <xf numFmtId="0" fontId="6" fillId="3" borderId="0" xfId="0" applyFont="1" applyFill="1" applyBorder="1" applyAlignment="1" applyProtection="1">
      <alignment horizontal="center" vertical="center" wrapText="1"/>
      <protection locked="0"/>
    </xf>
    <xf numFmtId="0" fontId="6" fillId="0" borderId="0" xfId="0" applyFont="1" applyAlignment="1" applyProtection="1">
      <alignment horizontal="left" vertical="top" wrapText="1"/>
      <protection locked="0"/>
    </xf>
    <xf numFmtId="0" fontId="6" fillId="3" borderId="0" xfId="0" applyFont="1" applyFill="1" applyAlignment="1" applyProtection="1">
      <alignment horizontal="center" vertical="center" wrapText="1"/>
      <protection locked="0"/>
    </xf>
    <xf numFmtId="0" fontId="8" fillId="0" borderId="0" xfId="0" applyFont="1" applyFill="1" applyBorder="1" applyAlignment="1" applyProtection="1">
      <alignment horizontal="center" wrapText="1"/>
      <protection locked="0"/>
    </xf>
    <xf numFmtId="0" fontId="6" fillId="3" borderId="0" xfId="0" applyFont="1" applyFill="1" applyBorder="1" applyAlignment="1" applyProtection="1">
      <alignment horizontal="right" vertical="center" wrapText="1"/>
      <protection locked="0"/>
    </xf>
    <xf numFmtId="0" fontId="6" fillId="0" borderId="0" xfId="0" applyFont="1" applyBorder="1" applyAlignment="1" applyProtection="1">
      <alignment horizontal="left" vertical="top" wrapText="1"/>
    </xf>
    <xf numFmtId="0" fontId="8" fillId="0" borderId="0" xfId="0" applyFont="1" applyBorder="1" applyAlignment="1" applyProtection="1">
      <alignment horizontal="left" vertical="top" wrapText="1"/>
      <protection locked="0"/>
    </xf>
    <xf numFmtId="0" fontId="8" fillId="0" borderId="0" xfId="0" applyFont="1" applyAlignment="1" applyProtection="1">
      <alignment horizontal="left" vertical="top" wrapText="1"/>
      <protection locked="0"/>
    </xf>
    <xf numFmtId="0" fontId="24" fillId="0" borderId="0" xfId="0" applyFont="1" applyAlignment="1" applyProtection="1">
      <alignment horizontal="center" vertical="center" wrapText="1"/>
      <protection locked="0"/>
    </xf>
    <xf numFmtId="0" fontId="24" fillId="0" borderId="0" xfId="0" applyFont="1" applyAlignment="1" applyProtection="1">
      <alignment horizontal="left" vertical="center" wrapText="1"/>
      <protection locked="0"/>
    </xf>
    <xf numFmtId="0" fontId="6" fillId="0" borderId="0" xfId="0" applyFont="1" applyAlignment="1" applyProtection="1">
      <alignment horizontal="center" vertical="center" wrapText="1"/>
      <protection locked="0"/>
    </xf>
    <xf numFmtId="0" fontId="10" fillId="0" borderId="0" xfId="0" applyFont="1" applyAlignment="1" applyProtection="1">
      <alignment horizontal="left" vertical="center" wrapText="1"/>
      <protection locked="0"/>
    </xf>
    <xf numFmtId="0" fontId="11" fillId="0" borderId="0" xfId="0" applyFont="1" applyAlignment="1" applyProtection="1">
      <alignment horizontal="left" vertical="top" wrapText="1"/>
      <protection locked="0"/>
    </xf>
    <xf numFmtId="0" fontId="11" fillId="3" borderId="0" xfId="0" applyFont="1" applyFill="1" applyBorder="1" applyAlignment="1" applyProtection="1">
      <alignment horizontal="left" vertical="top" wrapText="1"/>
      <protection locked="0"/>
    </xf>
    <xf numFmtId="0" fontId="57" fillId="3" borderId="0" xfId="0" applyFont="1" applyFill="1" applyBorder="1" applyAlignment="1" applyProtection="1">
      <alignment horizontal="left" vertical="center" wrapText="1" indent="1"/>
      <protection locked="0"/>
    </xf>
    <xf numFmtId="0" fontId="57" fillId="3" borderId="0" xfId="0" applyFont="1" applyFill="1" applyBorder="1" applyAlignment="1" applyProtection="1">
      <alignment horizontal="center" vertical="center" wrapText="1"/>
      <protection locked="0"/>
    </xf>
    <xf numFmtId="0" fontId="11" fillId="3" borderId="0" xfId="0" applyFont="1" applyFill="1" applyBorder="1" applyAlignment="1" applyProtection="1">
      <alignment horizontal="left" vertical="center" wrapText="1"/>
      <protection locked="0"/>
    </xf>
    <xf numFmtId="0" fontId="11" fillId="0" borderId="0" xfId="0" applyFont="1" applyFill="1" applyBorder="1" applyAlignment="1" applyProtection="1">
      <alignment horizontal="left" vertical="top" wrapText="1"/>
      <protection locked="0"/>
    </xf>
    <xf numFmtId="0" fontId="11" fillId="0" borderId="0" xfId="0" applyFont="1" applyAlignment="1" applyProtection="1">
      <alignment horizontal="center" vertical="center" wrapText="1"/>
      <protection locked="0"/>
    </xf>
    <xf numFmtId="0" fontId="6" fillId="0" borderId="0" xfId="0" applyFont="1" applyBorder="1" applyAlignment="1" applyProtection="1">
      <alignment horizontal="left" vertical="center" wrapText="1"/>
      <protection locked="0"/>
    </xf>
    <xf numFmtId="0" fontId="5" fillId="2" borderId="3" xfId="0" applyFont="1" applyFill="1" applyBorder="1" applyAlignment="1" applyProtection="1">
      <alignment horizontal="left" vertical="center" wrapText="1" indent="1"/>
      <protection locked="0"/>
    </xf>
    <xf numFmtId="0" fontId="58" fillId="0" borderId="1" xfId="0" applyFont="1" applyFill="1" applyBorder="1" applyAlignment="1" applyProtection="1">
      <alignment horizontal="left" vertical="center" wrapText="1" indent="1"/>
      <protection locked="0"/>
    </xf>
    <xf numFmtId="14" fontId="5" fillId="2" borderId="1" xfId="0" applyNumberFormat="1" applyFont="1" applyFill="1" applyBorder="1" applyAlignment="1" applyProtection="1">
      <alignment horizontal="center" vertical="center" wrapText="1"/>
      <protection locked="0"/>
    </xf>
    <xf numFmtId="0" fontId="5" fillId="2" borderId="15" xfId="0" applyFont="1" applyFill="1" applyBorder="1" applyAlignment="1" applyProtection="1">
      <alignment horizontal="center" vertical="center" wrapText="1"/>
      <protection locked="0"/>
    </xf>
    <xf numFmtId="0" fontId="5" fillId="2" borderId="1" xfId="0" applyFont="1" applyFill="1" applyBorder="1" applyAlignment="1" applyProtection="1">
      <alignment horizontal="left" vertical="center" wrapText="1" indent="2"/>
      <protection locked="0"/>
    </xf>
    <xf numFmtId="0" fontId="5" fillId="2" borderId="1" xfId="0" applyFont="1" applyFill="1" applyBorder="1" applyAlignment="1" applyProtection="1">
      <alignment horizontal="left" vertical="center" wrapText="1" indent="1"/>
      <protection locked="0"/>
    </xf>
    <xf numFmtId="0" fontId="63" fillId="3" borderId="1" xfId="0" applyFont="1" applyFill="1" applyBorder="1" applyAlignment="1">
      <alignment horizontal="center" vertical="center" wrapText="1"/>
    </xf>
    <xf numFmtId="0" fontId="5" fillId="2" borderId="1" xfId="0" applyFont="1" applyFill="1" applyBorder="1" applyAlignment="1" applyProtection="1">
      <alignment horizontal="center" vertical="center" wrapText="1"/>
      <protection locked="0"/>
    </xf>
    <xf numFmtId="0" fontId="13" fillId="8" borderId="1" xfId="0" applyFont="1" applyFill="1" applyBorder="1" applyAlignment="1" applyProtection="1">
      <alignment horizontal="left" vertical="center" wrapText="1" indent="1"/>
      <protection locked="0"/>
    </xf>
    <xf numFmtId="0" fontId="13" fillId="19" borderId="1" xfId="0" applyFont="1" applyFill="1" applyBorder="1" applyAlignment="1" applyProtection="1">
      <alignment horizontal="center" vertical="center" wrapText="1"/>
    </xf>
    <xf numFmtId="0" fontId="13" fillId="8" borderId="1" xfId="0" applyFont="1" applyFill="1" applyBorder="1" applyAlignment="1" applyProtection="1">
      <alignment horizontal="left" vertical="top" wrapText="1" indent="1"/>
      <protection locked="0"/>
    </xf>
    <xf numFmtId="0" fontId="5" fillId="2" borderId="3" xfId="0" applyNumberFormat="1" applyFont="1" applyFill="1" applyBorder="1" applyAlignment="1" applyProtection="1">
      <alignment horizontal="center" vertical="center" wrapText="1"/>
      <protection locked="0"/>
    </xf>
    <xf numFmtId="0" fontId="5" fillId="2" borderId="1" xfId="0" applyFont="1" applyFill="1" applyBorder="1" applyAlignment="1" applyProtection="1">
      <alignment horizontal="center" vertical="center" wrapText="1"/>
      <protection locked="0"/>
    </xf>
    <xf numFmtId="0" fontId="8" fillId="3" borderId="0" xfId="0" applyFont="1" applyFill="1" applyAlignment="1" applyProtection="1">
      <alignment horizontal="left" vertical="center" wrapText="1" indent="1"/>
      <protection locked="0"/>
    </xf>
    <xf numFmtId="0" fontId="6" fillId="0" borderId="0" xfId="0" applyFont="1" applyBorder="1" applyAlignment="1" applyProtection="1">
      <alignment horizontal="left" vertical="center" wrapText="1" indent="1"/>
      <protection locked="0"/>
    </xf>
    <xf numFmtId="0" fontId="64" fillId="19" borderId="1" xfId="0" applyFont="1" applyFill="1" applyBorder="1" applyAlignment="1" applyProtection="1">
      <alignment horizontal="center" vertical="center" wrapText="1"/>
      <protection locked="0"/>
    </xf>
    <xf numFmtId="0" fontId="0" fillId="0" borderId="1" xfId="0" applyFont="1" applyBorder="1" applyAlignment="1" applyProtection="1">
      <alignment horizontal="center" vertical="center" wrapText="1"/>
      <protection locked="0"/>
    </xf>
    <xf numFmtId="0" fontId="5" fillId="2" borderId="6" xfId="0" applyFont="1" applyFill="1" applyBorder="1" applyAlignment="1">
      <alignment horizontal="center" vertical="center" wrapText="1"/>
    </xf>
    <xf numFmtId="0" fontId="8" fillId="23" borderId="1" xfId="0" applyFont="1" applyFill="1" applyBorder="1" applyAlignment="1" applyProtection="1">
      <alignment horizontal="center" vertical="center" wrapText="1"/>
      <protection locked="0"/>
    </xf>
    <xf numFmtId="0" fontId="6" fillId="19" borderId="1" xfId="0" applyFont="1" applyFill="1" applyBorder="1" applyAlignment="1" applyProtection="1">
      <alignment horizontal="center" vertical="center" wrapText="1"/>
      <protection locked="0"/>
    </xf>
    <xf numFmtId="0" fontId="8" fillId="19" borderId="1" xfId="0" applyFont="1" applyFill="1" applyBorder="1" applyAlignment="1" applyProtection="1">
      <alignment horizontal="center" vertical="center" wrapText="1"/>
      <protection locked="0"/>
    </xf>
    <xf numFmtId="0" fontId="53" fillId="22" borderId="7" xfId="0" applyFont="1" applyFill="1" applyBorder="1" applyAlignment="1" applyProtection="1">
      <alignment horizontal="center" vertical="center" wrapText="1"/>
      <protection locked="0"/>
    </xf>
    <xf numFmtId="0" fontId="0" fillId="0" borderId="0" xfId="0" applyAlignment="1">
      <alignment horizontal="center" vertical="center"/>
    </xf>
    <xf numFmtId="0" fontId="29" fillId="0" borderId="0" xfId="0" applyFont="1" applyAlignment="1">
      <alignment horizontal="center" vertical="center"/>
    </xf>
    <xf numFmtId="0" fontId="0" fillId="0" borderId="0" xfId="0" applyBorder="1" applyAlignment="1">
      <alignment horizontal="center" vertical="center"/>
    </xf>
    <xf numFmtId="0" fontId="44" fillId="0" borderId="6" xfId="0" applyFont="1" applyFill="1" applyBorder="1" applyAlignment="1" applyProtection="1">
      <alignment horizontal="center" vertical="center" wrapText="1"/>
      <protection locked="0"/>
    </xf>
    <xf numFmtId="0" fontId="44" fillId="0" borderId="14" xfId="0" applyFont="1" applyFill="1" applyBorder="1" applyAlignment="1" applyProtection="1">
      <alignment horizontal="center" vertical="center" wrapText="1"/>
      <protection locked="0"/>
    </xf>
    <xf numFmtId="0" fontId="1" fillId="55" borderId="7" xfId="0" applyFont="1" applyFill="1" applyBorder="1" applyAlignment="1">
      <alignment horizontal="center" vertical="center"/>
    </xf>
    <xf numFmtId="0" fontId="0" fillId="0" borderId="5" xfId="0" applyBorder="1" applyAlignment="1">
      <alignment horizontal="center" vertical="center"/>
    </xf>
    <xf numFmtId="0" fontId="1" fillId="4" borderId="7" xfId="0" applyFont="1" applyFill="1" applyBorder="1" applyAlignment="1">
      <alignment horizontal="center" vertical="center"/>
    </xf>
    <xf numFmtId="0" fontId="1" fillId="6" borderId="7" xfId="0" applyFont="1" applyFill="1" applyBorder="1" applyAlignment="1">
      <alignment horizontal="center" vertical="center"/>
    </xf>
    <xf numFmtId="0" fontId="16" fillId="58" borderId="8" xfId="0" applyFont="1" applyFill="1" applyBorder="1" applyAlignment="1">
      <alignment horizontal="center" vertical="center"/>
    </xf>
    <xf numFmtId="0" fontId="0" fillId="0" borderId="28" xfId="0" applyBorder="1" applyAlignment="1">
      <alignment horizontal="center" vertical="center"/>
    </xf>
    <xf numFmtId="0" fontId="0" fillId="0" borderId="1" xfId="0" applyBorder="1" applyAlignment="1">
      <alignment horizontal="center" vertical="center"/>
    </xf>
    <xf numFmtId="0" fontId="6" fillId="0" borderId="4" xfId="0" applyFont="1" applyBorder="1" applyAlignment="1">
      <alignment horizontal="center" vertical="center"/>
    </xf>
    <xf numFmtId="0" fontId="0" fillId="0" borderId="10" xfId="0" applyBorder="1" applyAlignment="1">
      <alignment horizontal="center" vertical="center"/>
    </xf>
    <xf numFmtId="0" fontId="0" fillId="0" borderId="15" xfId="0" applyBorder="1" applyAlignment="1">
      <alignment horizontal="center" vertical="center"/>
    </xf>
    <xf numFmtId="0" fontId="55" fillId="55" borderId="1" xfId="0" applyFont="1" applyFill="1" applyBorder="1" applyAlignment="1" applyProtection="1">
      <alignment horizontal="center" vertical="center" wrapText="1"/>
      <protection locked="0"/>
    </xf>
    <xf numFmtId="0" fontId="55" fillId="6" borderId="1" xfId="0" applyFont="1" applyFill="1" applyBorder="1" applyAlignment="1" applyProtection="1">
      <alignment horizontal="center" vertical="center" wrapText="1"/>
      <protection locked="0"/>
    </xf>
    <xf numFmtId="0" fontId="55" fillId="4" borderId="1" xfId="0" applyFont="1" applyFill="1" applyBorder="1" applyAlignment="1" applyProtection="1">
      <alignment horizontal="center" vertical="center" wrapText="1"/>
      <protection locked="0"/>
    </xf>
    <xf numFmtId="0" fontId="54" fillId="58" borderId="1" xfId="0" applyFont="1" applyFill="1" applyBorder="1" applyAlignment="1" applyProtection="1">
      <alignment horizontal="center" vertical="center" wrapText="1"/>
      <protection locked="0"/>
    </xf>
    <xf numFmtId="9" fontId="24" fillId="0" borderId="1" xfId="44" applyFont="1" applyBorder="1" applyAlignment="1" applyProtection="1">
      <alignment horizontal="center" vertical="top" wrapText="1"/>
      <protection locked="0"/>
    </xf>
    <xf numFmtId="0" fontId="24" fillId="0" borderId="1" xfId="0" applyFont="1" applyBorder="1" applyAlignment="1" applyProtection="1">
      <alignment horizontal="center" vertical="top" wrapText="1"/>
      <protection locked="0"/>
    </xf>
    <xf numFmtId="9" fontId="0" fillId="0" borderId="1" xfId="44" applyFont="1" applyBorder="1" applyAlignment="1" applyProtection="1">
      <alignment horizontal="center" vertical="center" wrapText="1"/>
      <protection locked="0"/>
    </xf>
    <xf numFmtId="0" fontId="8" fillId="3" borderId="0" xfId="0" applyFont="1" applyFill="1" applyBorder="1" applyAlignment="1">
      <alignment horizontal="center" vertical="center"/>
    </xf>
    <xf numFmtId="0" fontId="8" fillId="0" borderId="0" xfId="0" applyFont="1" applyBorder="1" applyAlignment="1">
      <alignment horizontal="center" vertical="center"/>
    </xf>
    <xf numFmtId="0" fontId="24" fillId="0" borderId="0" xfId="0" applyFont="1" applyFill="1" applyBorder="1" applyAlignment="1" applyProtection="1">
      <alignment horizontal="center" vertical="center" wrapText="1"/>
      <protection locked="0"/>
    </xf>
    <xf numFmtId="49" fontId="51" fillId="8" borderId="7" xfId="0" applyNumberFormat="1" applyFont="1" applyFill="1" applyBorder="1" applyAlignment="1">
      <alignment horizontal="left" vertical="center" indent="1"/>
    </xf>
    <xf numFmtId="0" fontId="6" fillId="3" borderId="3" xfId="0" applyFont="1" applyFill="1" applyBorder="1" applyAlignment="1">
      <alignment horizontal="left" vertical="center" wrapText="1"/>
    </xf>
    <xf numFmtId="0" fontId="6" fillId="3" borderId="11" xfId="0" applyFont="1" applyFill="1" applyBorder="1" applyAlignment="1">
      <alignment vertical="center" wrapText="1"/>
    </xf>
    <xf numFmtId="0" fontId="6" fillId="3" borderId="2" xfId="0" applyFont="1" applyFill="1" applyBorder="1" applyAlignment="1">
      <alignment horizontal="left" vertical="center" wrapText="1"/>
    </xf>
    <xf numFmtId="0" fontId="6" fillId="3" borderId="11" xfId="0" applyFont="1" applyFill="1" applyBorder="1" applyAlignment="1">
      <alignment horizontal="left" vertical="center" wrapText="1"/>
    </xf>
    <xf numFmtId="0" fontId="6" fillId="3" borderId="1" xfId="0" applyFont="1" applyFill="1" applyBorder="1" applyAlignment="1">
      <alignment horizontal="left" vertical="center" wrapText="1"/>
    </xf>
    <xf numFmtId="9" fontId="4" fillId="3" borderId="5" xfId="0" applyNumberFormat="1" applyFont="1" applyFill="1" applyBorder="1" applyAlignment="1">
      <alignment horizontal="left" vertical="center" wrapText="1"/>
    </xf>
    <xf numFmtId="0" fontId="0" fillId="3" borderId="0" xfId="0" applyFill="1"/>
    <xf numFmtId="0" fontId="0" fillId="3" borderId="0" xfId="0" applyFill="1" applyBorder="1"/>
    <xf numFmtId="0" fontId="15" fillId="3" borderId="0" xfId="0" applyFont="1" applyFill="1" applyBorder="1" applyAlignment="1">
      <alignment horizontal="left" vertical="center" wrapText="1" indent="1"/>
    </xf>
    <xf numFmtId="0" fontId="69" fillId="0" borderId="0" xfId="0" applyFont="1" applyFill="1" applyBorder="1" applyAlignment="1">
      <alignment horizontal="left" vertical="center" wrapText="1"/>
    </xf>
    <xf numFmtId="0" fontId="70" fillId="3" borderId="0" xfId="0" applyFont="1" applyFill="1" applyBorder="1" applyAlignment="1">
      <alignment horizontal="center" vertical="center" wrapText="1"/>
    </xf>
    <xf numFmtId="0" fontId="0" fillId="0" borderId="0" xfId="0" applyBorder="1" applyAlignment="1">
      <alignment horizontal="left" vertical="center" wrapText="1"/>
    </xf>
    <xf numFmtId="0" fontId="15" fillId="8" borderId="1" xfId="0" applyFont="1" applyFill="1" applyBorder="1" applyAlignment="1">
      <alignment horizontal="left" vertical="center" wrapText="1" indent="1"/>
    </xf>
    <xf numFmtId="0" fontId="15" fillId="8" borderId="1" xfId="0" applyFont="1" applyFill="1" applyBorder="1" applyAlignment="1">
      <alignment vertical="center" wrapText="1"/>
    </xf>
    <xf numFmtId="0" fontId="0" fillId="3" borderId="1" xfId="0" applyFill="1" applyBorder="1" applyAlignment="1">
      <alignment vertical="center"/>
    </xf>
    <xf numFmtId="0" fontId="44" fillId="3" borderId="1" xfId="0" applyFont="1" applyFill="1" applyBorder="1" applyAlignment="1">
      <alignment horizontal="center" vertical="center" wrapText="1"/>
    </xf>
    <xf numFmtId="0" fontId="1" fillId="0" borderId="5" xfId="0" applyFont="1" applyBorder="1" applyAlignment="1">
      <alignment horizontal="left" vertical="center" wrapText="1"/>
    </xf>
    <xf numFmtId="0" fontId="15" fillId="8" borderId="1" xfId="0" applyFont="1" applyFill="1" applyBorder="1" applyAlignment="1" applyProtection="1">
      <alignment horizontal="left" vertical="center" wrapText="1" indent="1"/>
      <protection locked="0"/>
    </xf>
    <xf numFmtId="164" fontId="6" fillId="0" borderId="1" xfId="0" applyNumberFormat="1" applyFont="1" applyFill="1" applyBorder="1" applyAlignment="1">
      <alignment horizontal="center" vertical="center" wrapText="1"/>
    </xf>
    <xf numFmtId="0" fontId="11" fillId="0" borderId="0" xfId="0" applyFont="1" applyAlignment="1" applyProtection="1">
      <alignment horizontal="center" vertical="center" wrapText="1"/>
      <protection locked="0"/>
    </xf>
    <xf numFmtId="0" fontId="6" fillId="0" borderId="0" xfId="0" applyFont="1" applyBorder="1" applyAlignment="1" applyProtection="1">
      <alignment horizontal="left" vertical="center" wrapText="1"/>
      <protection locked="0"/>
    </xf>
    <xf numFmtId="0" fontId="1" fillId="0" borderId="8" xfId="0" applyFont="1" applyBorder="1" applyAlignment="1">
      <alignment horizontal="center" vertical="center"/>
    </xf>
    <xf numFmtId="0" fontId="44" fillId="11" borderId="1" xfId="0" applyFont="1" applyFill="1" applyBorder="1" applyAlignment="1" applyProtection="1">
      <alignment horizontal="center" vertical="center" wrapText="1"/>
      <protection locked="0"/>
    </xf>
    <xf numFmtId="0" fontId="71" fillId="22" borderId="15" xfId="0" applyFont="1" applyFill="1" applyBorder="1" applyAlignment="1" applyProtection="1">
      <alignment horizontal="center" vertical="center" wrapText="1"/>
      <protection locked="0"/>
    </xf>
    <xf numFmtId="0" fontId="7" fillId="0" borderId="1" xfId="0" applyFont="1" applyFill="1" applyBorder="1" applyAlignment="1" applyProtection="1">
      <alignment horizontal="left" vertical="center" indent="1"/>
      <protection locked="0"/>
    </xf>
    <xf numFmtId="0" fontId="7" fillId="3" borderId="5" xfId="0" applyFont="1" applyFill="1" applyBorder="1" applyAlignment="1">
      <alignment vertical="center" wrapText="1"/>
    </xf>
    <xf numFmtId="0" fontId="7" fillId="3" borderId="6" xfId="0" applyFont="1" applyFill="1" applyBorder="1" applyAlignment="1">
      <alignment vertical="center" wrapText="1"/>
    </xf>
    <xf numFmtId="0" fontId="7" fillId="3" borderId="7" xfId="0" applyFont="1" applyFill="1" applyBorder="1" applyAlignment="1">
      <alignment vertical="center" wrapText="1"/>
    </xf>
    <xf numFmtId="0" fontId="7" fillId="3" borderId="0" xfId="0" applyFont="1" applyFill="1" applyBorder="1" applyAlignment="1">
      <alignment vertical="center" wrapText="1"/>
    </xf>
    <xf numFmtId="0" fontId="7" fillId="3" borderId="4" xfId="0" applyFont="1" applyFill="1" applyBorder="1" applyAlignment="1">
      <alignment vertical="center" wrapText="1"/>
    </xf>
    <xf numFmtId="0" fontId="7" fillId="3" borderId="9" xfId="0" applyFont="1" applyFill="1" applyBorder="1" applyAlignment="1">
      <alignment vertical="center" wrapText="1"/>
    </xf>
    <xf numFmtId="0" fontId="7" fillId="3" borderId="0" xfId="0" applyFont="1" applyFill="1" applyBorder="1" applyAlignment="1">
      <alignment horizontal="left" vertical="center" wrapText="1" indent="1"/>
    </xf>
    <xf numFmtId="0" fontId="7" fillId="3" borderId="14" xfId="0" applyFont="1" applyFill="1" applyBorder="1" applyAlignment="1">
      <alignment horizontal="left" vertical="center" wrapText="1" indent="1"/>
    </xf>
    <xf numFmtId="0" fontId="76" fillId="3" borderId="1" xfId="0" applyFont="1" applyFill="1" applyBorder="1" applyAlignment="1">
      <alignment horizontal="center" vertical="center" wrapText="1"/>
    </xf>
    <xf numFmtId="0" fontId="7" fillId="3" borderId="6" xfId="0" applyFont="1" applyFill="1" applyBorder="1" applyAlignment="1">
      <alignment horizontal="right" vertical="center" wrapText="1"/>
    </xf>
    <xf numFmtId="0" fontId="77" fillId="3" borderId="1" xfId="1" applyFont="1" applyFill="1" applyBorder="1" applyAlignment="1">
      <alignment horizontal="center" vertical="center" wrapText="1"/>
    </xf>
    <xf numFmtId="0" fontId="6" fillId="0" borderId="0" xfId="0" applyFont="1" applyBorder="1" applyAlignment="1" applyProtection="1">
      <alignment horizontal="left" vertical="center" wrapText="1"/>
      <protection locked="0"/>
    </xf>
    <xf numFmtId="0" fontId="6" fillId="0" borderId="0" xfId="0" applyFont="1" applyAlignment="1" applyProtection="1">
      <alignment horizontal="left" vertical="top" wrapText="1"/>
      <protection locked="0"/>
    </xf>
    <xf numFmtId="0" fontId="11" fillId="0" borderId="0" xfId="0" applyFont="1" applyAlignment="1" applyProtection="1">
      <alignment horizontal="left" vertical="top" wrapText="1"/>
      <protection locked="0"/>
    </xf>
    <xf numFmtId="0" fontId="11" fillId="0" borderId="0" xfId="0" applyFont="1" applyFill="1" applyBorder="1" applyAlignment="1" applyProtection="1">
      <alignment horizontal="left" vertical="top" wrapText="1"/>
      <protection locked="0"/>
    </xf>
    <xf numFmtId="0" fontId="6" fillId="0" borderId="0" xfId="0" applyFont="1" applyBorder="1" applyAlignment="1" applyProtection="1">
      <alignment horizontal="left" vertical="center" wrapText="1" indent="1"/>
      <protection locked="0"/>
    </xf>
    <xf numFmtId="0" fontId="5" fillId="2" borderId="1" xfId="0" applyFont="1" applyFill="1" applyBorder="1" applyAlignment="1" applyProtection="1">
      <alignment horizontal="center" vertical="center" wrapText="1"/>
      <protection locked="0"/>
    </xf>
    <xf numFmtId="49" fontId="75" fillId="61" borderId="1" xfId="0" applyNumberFormat="1" applyFont="1" applyFill="1" applyBorder="1" applyAlignment="1">
      <alignment horizontal="center" vertical="center" wrapText="1"/>
    </xf>
    <xf numFmtId="49" fontId="75" fillId="62" borderId="1" xfId="0" applyNumberFormat="1" applyFont="1" applyFill="1" applyBorder="1" applyAlignment="1">
      <alignment horizontal="center" vertical="center" wrapText="1"/>
    </xf>
    <xf numFmtId="49" fontId="75" fillId="63" borderId="1" xfId="0" applyNumberFormat="1" applyFont="1" applyFill="1" applyBorder="1" applyAlignment="1">
      <alignment horizontal="center" vertical="center" wrapText="1"/>
    </xf>
    <xf numFmtId="0" fontId="6" fillId="0" borderId="9" xfId="0" applyFont="1" applyFill="1" applyBorder="1" applyAlignment="1" applyProtection="1">
      <alignment horizontal="left" vertical="top" wrapText="1"/>
      <protection locked="0"/>
    </xf>
    <xf numFmtId="0" fontId="75" fillId="61" borderId="1" xfId="0" applyFont="1" applyFill="1" applyBorder="1" applyAlignment="1">
      <alignment horizontal="center" vertical="center" wrapText="1"/>
    </xf>
    <xf numFmtId="0" fontId="6" fillId="0" borderId="1" xfId="0" applyFont="1" applyBorder="1" applyAlignment="1" applyProtection="1">
      <alignment horizontal="center" vertical="center" wrapText="1"/>
      <protection locked="0"/>
    </xf>
    <xf numFmtId="0" fontId="5" fillId="2" borderId="1" xfId="0" applyNumberFormat="1" applyFont="1" applyFill="1" applyBorder="1" applyAlignment="1" applyProtection="1">
      <alignment horizontal="center" vertical="center" wrapText="1"/>
      <protection locked="0"/>
    </xf>
    <xf numFmtId="0" fontId="43" fillId="3" borderId="2" xfId="0" applyFont="1" applyFill="1" applyBorder="1" applyAlignment="1">
      <alignment horizontal="center" vertical="center" wrapText="1"/>
    </xf>
    <xf numFmtId="0" fontId="65" fillId="3" borderId="29" xfId="0" applyFont="1" applyFill="1" applyBorder="1" applyAlignment="1">
      <alignment horizontal="center" vertical="center" wrapText="1"/>
    </xf>
    <xf numFmtId="0" fontId="7" fillId="3" borderId="4" xfId="0" applyFont="1" applyFill="1" applyBorder="1" applyAlignment="1">
      <alignment horizontal="left" vertical="center" wrapText="1" indent="1"/>
    </xf>
    <xf numFmtId="0" fontId="8" fillId="3" borderId="4" xfId="0" applyFont="1" applyFill="1" applyBorder="1" applyAlignment="1" applyProtection="1">
      <alignment horizontal="left" vertical="center" wrapText="1"/>
      <protection locked="0"/>
    </xf>
    <xf numFmtId="0" fontId="6" fillId="0" borderId="4" xfId="0" applyFont="1" applyFill="1" applyBorder="1" applyAlignment="1" applyProtection="1">
      <alignment horizontal="left" vertical="top" wrapText="1"/>
      <protection locked="0"/>
    </xf>
    <xf numFmtId="0" fontId="62" fillId="3" borderId="1" xfId="1" applyFont="1" applyFill="1" applyBorder="1" applyAlignment="1">
      <alignment vertical="center" wrapText="1"/>
    </xf>
    <xf numFmtId="0" fontId="71" fillId="22" borderId="1" xfId="0" applyFont="1" applyFill="1" applyBorder="1" applyAlignment="1" applyProtection="1">
      <alignment horizontal="center" vertical="center" wrapText="1"/>
      <protection locked="0"/>
    </xf>
    <xf numFmtId="0" fontId="13" fillId="19" borderId="1" xfId="0" applyFont="1" applyFill="1" applyBorder="1" applyAlignment="1" applyProtection="1">
      <alignment horizontal="center" vertical="center" wrapText="1"/>
      <protection locked="0"/>
    </xf>
    <xf numFmtId="0" fontId="5" fillId="2" borderId="1" xfId="0" applyFont="1" applyFill="1" applyBorder="1" applyAlignment="1" applyProtection="1">
      <alignment horizontal="right" vertical="center" wrapText="1" indent="1"/>
      <protection locked="0"/>
    </xf>
    <xf numFmtId="0" fontId="6" fillId="3" borderId="0" xfId="0" applyFont="1" applyFill="1" applyAlignment="1" applyProtection="1">
      <alignment horizontal="left" vertical="top" wrapText="1"/>
      <protection locked="0"/>
    </xf>
    <xf numFmtId="0" fontId="63" fillId="3" borderId="1"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15" fillId="8" borderId="3" xfId="0" applyFont="1" applyFill="1" applyBorder="1" applyAlignment="1">
      <alignment horizontal="left" vertical="center" wrapText="1" indent="1"/>
    </xf>
    <xf numFmtId="0" fontId="15" fillId="8" borderId="2" xfId="0" applyFont="1" applyFill="1" applyBorder="1" applyAlignment="1">
      <alignment horizontal="left" vertical="center" wrapText="1" indent="1"/>
    </xf>
    <xf numFmtId="0" fontId="15" fillId="8" borderId="3" xfId="0" applyFont="1" applyFill="1" applyBorder="1" applyAlignment="1">
      <alignment vertical="center" wrapText="1"/>
    </xf>
    <xf numFmtId="9" fontId="24" fillId="0" borderId="3" xfId="44" applyFont="1" applyBorder="1" applyAlignment="1" applyProtection="1">
      <alignment horizontal="center" vertical="top" wrapText="1"/>
      <protection locked="0"/>
    </xf>
    <xf numFmtId="0" fontId="17" fillId="3" borderId="5" xfId="0" applyFont="1" applyFill="1" applyBorder="1" applyAlignment="1">
      <alignment horizontal="left" vertical="center" indent="1" readingOrder="1"/>
    </xf>
    <xf numFmtId="0" fontId="17" fillId="3" borderId="6" xfId="0" applyFont="1" applyFill="1" applyBorder="1" applyAlignment="1">
      <alignment horizontal="left" vertical="center" indent="1" readingOrder="1"/>
    </xf>
    <xf numFmtId="0" fontId="17" fillId="3" borderId="7" xfId="0" applyFont="1" applyFill="1" applyBorder="1" applyAlignment="1">
      <alignment horizontal="left" vertical="center" indent="1" readingOrder="1"/>
    </xf>
    <xf numFmtId="0" fontId="5" fillId="2" borderId="15" xfId="0" applyFont="1" applyFill="1" applyBorder="1" applyAlignment="1" applyProtection="1">
      <alignment horizontal="center" vertical="center" wrapText="1"/>
      <protection locked="0"/>
    </xf>
    <xf numFmtId="0" fontId="5" fillId="2" borderId="4" xfId="0" applyFont="1" applyFill="1" applyBorder="1" applyAlignment="1" applyProtection="1">
      <alignment horizontal="center" vertical="center" wrapText="1"/>
      <protection locked="0"/>
    </xf>
    <xf numFmtId="0" fontId="5" fillId="2" borderId="10" xfId="0" applyFont="1" applyFill="1" applyBorder="1" applyAlignment="1" applyProtection="1">
      <alignment horizontal="center" vertical="center" wrapText="1"/>
      <protection locked="0"/>
    </xf>
    <xf numFmtId="0" fontId="5" fillId="2" borderId="5"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5" fillId="2" borderId="7" xfId="0" applyFont="1" applyFill="1" applyBorder="1" applyAlignment="1" applyProtection="1">
      <alignment horizontal="center" vertical="center" wrapText="1"/>
      <protection locked="0"/>
    </xf>
    <xf numFmtId="0" fontId="44" fillId="3" borderId="5" xfId="0" applyFont="1" applyFill="1" applyBorder="1" applyAlignment="1" applyProtection="1">
      <alignment horizontal="center" vertical="center" wrapText="1"/>
      <protection locked="0"/>
    </xf>
    <xf numFmtId="0" fontId="44" fillId="3" borderId="6" xfId="0" applyFont="1" applyFill="1" applyBorder="1" applyAlignment="1" applyProtection="1">
      <alignment horizontal="center" vertical="center" wrapText="1"/>
      <protection locked="0"/>
    </xf>
    <xf numFmtId="0" fontId="44" fillId="3" borderId="7" xfId="0" applyFont="1" applyFill="1" applyBorder="1" applyAlignment="1" applyProtection="1">
      <alignment horizontal="center" vertical="center" wrapText="1"/>
      <protection locked="0"/>
    </xf>
    <xf numFmtId="0" fontId="6" fillId="3" borderId="5" xfId="0" applyFont="1" applyFill="1" applyBorder="1" applyAlignment="1" applyProtection="1">
      <alignment horizontal="center" vertical="center" wrapText="1"/>
      <protection locked="0"/>
    </xf>
    <xf numFmtId="0" fontId="6" fillId="3" borderId="6" xfId="0" applyFont="1" applyFill="1" applyBorder="1" applyAlignment="1" applyProtection="1">
      <alignment horizontal="center" vertical="center" wrapText="1"/>
      <protection locked="0"/>
    </xf>
    <xf numFmtId="0" fontId="6" fillId="3" borderId="7" xfId="0" applyFont="1" applyFill="1" applyBorder="1" applyAlignment="1" applyProtection="1">
      <alignment horizontal="center" vertical="center" wrapText="1"/>
      <protection locked="0"/>
    </xf>
    <xf numFmtId="0" fontId="13" fillId="3" borderId="5" xfId="0" applyFont="1" applyFill="1" applyBorder="1" applyAlignment="1" applyProtection="1">
      <alignment horizontal="center" vertical="center" wrapText="1"/>
    </xf>
    <xf numFmtId="0" fontId="13" fillId="3" borderId="6" xfId="0" applyFont="1" applyFill="1" applyBorder="1" applyAlignment="1" applyProtection="1">
      <alignment horizontal="center" vertical="center" wrapText="1"/>
    </xf>
    <xf numFmtId="0" fontId="13" fillId="3" borderId="7" xfId="0" applyFont="1" applyFill="1" applyBorder="1" applyAlignment="1" applyProtection="1">
      <alignment horizontal="center" vertical="center" wrapText="1"/>
    </xf>
    <xf numFmtId="0" fontId="73" fillId="3" borderId="5" xfId="0" applyFont="1" applyFill="1" applyBorder="1" applyAlignment="1" applyProtection="1">
      <alignment horizontal="left" vertical="center" wrapText="1" indent="1"/>
    </xf>
    <xf numFmtId="0" fontId="73" fillId="3" borderId="6" xfId="0" applyFont="1" applyFill="1" applyBorder="1" applyAlignment="1" applyProtection="1">
      <alignment horizontal="left" vertical="center" wrapText="1" indent="1"/>
    </xf>
    <xf numFmtId="0" fontId="73" fillId="3" borderId="7" xfId="0" applyFont="1" applyFill="1" applyBorder="1" applyAlignment="1" applyProtection="1">
      <alignment horizontal="left" vertical="center" wrapText="1" indent="1"/>
    </xf>
    <xf numFmtId="0" fontId="17" fillId="3" borderId="1" xfId="0" applyFont="1" applyFill="1" applyBorder="1" applyAlignment="1" applyProtection="1">
      <alignment horizontal="center" vertical="top" wrapText="1"/>
      <protection locked="0"/>
    </xf>
    <xf numFmtId="0" fontId="17" fillId="3" borderId="1" xfId="0" applyFont="1" applyFill="1" applyBorder="1" applyAlignment="1" applyProtection="1">
      <alignment horizontal="center" vertical="center" wrapText="1"/>
      <protection locked="0"/>
    </xf>
    <xf numFmtId="0" fontId="5" fillId="2" borderId="5" xfId="0" applyFont="1" applyFill="1" applyBorder="1" applyAlignment="1" applyProtection="1">
      <alignment horizontal="left" vertical="center" wrapText="1" indent="2"/>
      <protection locked="0"/>
    </xf>
    <xf numFmtId="0" fontId="5" fillId="2" borderId="6" xfId="0" applyFont="1" applyFill="1" applyBorder="1" applyAlignment="1" applyProtection="1">
      <alignment horizontal="left" vertical="center" wrapText="1" indent="2"/>
      <protection locked="0"/>
    </xf>
    <xf numFmtId="0" fontId="5" fillId="2" borderId="7" xfId="0" applyFont="1" applyFill="1" applyBorder="1" applyAlignment="1" applyProtection="1">
      <alignment horizontal="left" vertical="center" wrapText="1" indent="2"/>
      <protection locked="0"/>
    </xf>
    <xf numFmtId="0" fontId="13" fillId="8" borderId="2" xfId="0" applyFont="1" applyFill="1" applyBorder="1" applyAlignment="1">
      <alignment horizontal="center" vertical="center" wrapText="1"/>
    </xf>
    <xf numFmtId="0" fontId="13" fillId="8" borderId="3" xfId="0" applyFont="1" applyFill="1" applyBorder="1" applyAlignment="1">
      <alignment horizontal="center" vertical="center" wrapText="1"/>
    </xf>
    <xf numFmtId="0" fontId="57" fillId="19" borderId="2" xfId="0" applyFont="1" applyFill="1" applyBorder="1" applyAlignment="1" applyProtection="1">
      <alignment horizontal="center" vertical="center" wrapText="1"/>
    </xf>
    <xf numFmtId="0" fontId="57" fillId="19" borderId="3" xfId="0" applyFont="1" applyFill="1" applyBorder="1" applyAlignment="1" applyProtection="1">
      <alignment horizontal="center" vertical="center" wrapText="1"/>
    </xf>
    <xf numFmtId="0" fontId="5" fillId="2" borderId="1" xfId="0" applyFont="1" applyFill="1" applyBorder="1" applyAlignment="1" applyProtection="1">
      <alignment horizontal="center" vertical="center" wrapText="1"/>
      <protection locked="0"/>
    </xf>
    <xf numFmtId="0" fontId="60" fillId="3" borderId="1" xfId="0" applyFont="1" applyFill="1" applyBorder="1" applyAlignment="1">
      <alignment horizontal="center" vertical="center" wrapText="1"/>
    </xf>
    <xf numFmtId="0" fontId="74" fillId="0" borderId="1" xfId="0" applyFont="1" applyFill="1" applyBorder="1" applyAlignment="1" applyProtection="1">
      <alignment horizontal="center" vertical="center" wrapText="1"/>
      <protection locked="0"/>
    </xf>
    <xf numFmtId="0" fontId="59" fillId="2" borderId="3" xfId="0" applyFont="1" applyFill="1" applyBorder="1" applyAlignment="1" applyProtection="1">
      <alignment horizontal="left" vertical="center" wrapText="1" indent="1"/>
      <protection locked="0"/>
    </xf>
    <xf numFmtId="0" fontId="2" fillId="0" borderId="1" xfId="0" applyFont="1" applyBorder="1" applyAlignment="1">
      <alignment horizontal="left" vertical="center" wrapText="1" indent="1"/>
    </xf>
    <xf numFmtId="0" fontId="0" fillId="0" borderId="1" xfId="0" applyFont="1" applyBorder="1" applyAlignment="1">
      <alignment horizontal="left" vertical="center" wrapText="1" indent="1"/>
    </xf>
    <xf numFmtId="14" fontId="17" fillId="0" borderId="1" xfId="0" applyNumberFormat="1" applyFont="1" applyBorder="1" applyAlignment="1">
      <alignment horizontal="left" vertical="center" wrapText="1" indent="1"/>
    </xf>
    <xf numFmtId="0" fontId="17" fillId="0" borderId="1" xfId="0" applyFont="1" applyBorder="1" applyAlignment="1">
      <alignment horizontal="left" vertical="center" wrapText="1" indent="1"/>
    </xf>
    <xf numFmtId="0" fontId="11" fillId="3" borderId="0" xfId="0" applyFont="1" applyFill="1" applyBorder="1" applyAlignment="1" applyProtection="1">
      <alignment horizontal="left" vertical="top" wrapText="1"/>
      <protection locked="0"/>
    </xf>
    <xf numFmtId="0" fontId="15" fillId="8" borderId="2" xfId="0" applyFont="1" applyFill="1" applyBorder="1" applyAlignment="1" applyProtection="1">
      <alignment horizontal="left" vertical="center" wrapText="1" indent="1"/>
      <protection locked="0"/>
    </xf>
    <xf numFmtId="0" fontId="15" fillId="8" borderId="11" xfId="0" applyFont="1" applyFill="1" applyBorder="1" applyAlignment="1" applyProtection="1">
      <alignment horizontal="left" vertical="center" wrapText="1" indent="1"/>
      <protection locked="0"/>
    </xf>
    <xf numFmtId="0" fontId="15" fillId="8" borderId="3" xfId="0" applyFont="1" applyFill="1" applyBorder="1" applyAlignment="1" applyProtection="1">
      <alignment horizontal="left" vertical="center" wrapText="1" indent="1"/>
      <protection locked="0"/>
    </xf>
    <xf numFmtId="0" fontId="63" fillId="3" borderId="1" xfId="0" applyFont="1" applyFill="1" applyBorder="1" applyAlignment="1">
      <alignment horizontal="center" vertical="center" wrapText="1"/>
    </xf>
    <xf numFmtId="0" fontId="57" fillId="3" borderId="0" xfId="0" applyFont="1" applyFill="1" applyBorder="1" applyAlignment="1" applyProtection="1">
      <alignment horizontal="center" vertical="center" wrapText="1"/>
      <protection locked="0"/>
    </xf>
    <xf numFmtId="14" fontId="8" fillId="3" borderId="5" xfId="0" applyNumberFormat="1" applyFont="1" applyFill="1" applyBorder="1" applyAlignment="1" applyProtection="1">
      <alignment horizontal="left" vertical="center" wrapText="1" indent="1"/>
      <protection locked="0"/>
    </xf>
    <xf numFmtId="14" fontId="8" fillId="3" borderId="6" xfId="0" applyNumberFormat="1" applyFont="1" applyFill="1" applyBorder="1" applyAlignment="1" applyProtection="1">
      <alignment horizontal="left" vertical="center" wrapText="1" indent="1"/>
      <protection locked="0"/>
    </xf>
    <xf numFmtId="14" fontId="8" fillId="3" borderId="7" xfId="0" applyNumberFormat="1" applyFont="1" applyFill="1" applyBorder="1" applyAlignment="1" applyProtection="1">
      <alignment horizontal="left" vertical="center" wrapText="1" indent="1"/>
      <protection locked="0"/>
    </xf>
    <xf numFmtId="0" fontId="73" fillId="3" borderId="1" xfId="0" applyFont="1" applyFill="1" applyBorder="1" applyAlignment="1" applyProtection="1">
      <alignment horizontal="left" vertical="center" wrapText="1" indent="1"/>
    </xf>
    <xf numFmtId="0" fontId="56" fillId="0" borderId="14" xfId="0" applyFont="1" applyFill="1" applyBorder="1" applyAlignment="1" applyProtection="1">
      <alignment horizontal="center" vertical="center" wrapText="1"/>
      <protection locked="0"/>
    </xf>
    <xf numFmtId="0" fontId="5" fillId="2" borderId="1" xfId="0" applyFont="1" applyFill="1" applyBorder="1" applyAlignment="1" applyProtection="1">
      <alignment horizontal="left" vertical="center" wrapText="1" indent="1"/>
      <protection locked="0"/>
    </xf>
    <xf numFmtId="0" fontId="7" fillId="3" borderId="4" xfId="0" applyFont="1" applyFill="1" applyBorder="1" applyAlignment="1">
      <alignment vertical="center" wrapText="1"/>
    </xf>
    <xf numFmtId="0" fontId="7" fillId="3" borderId="10" xfId="0" applyFont="1" applyFill="1" applyBorder="1" applyAlignment="1">
      <alignment vertical="center" wrapText="1"/>
    </xf>
    <xf numFmtId="0" fontId="72" fillId="11" borderId="16" xfId="1" applyFont="1" applyFill="1" applyBorder="1" applyAlignment="1">
      <alignment horizontal="center" vertical="center" wrapText="1"/>
    </xf>
    <xf numFmtId="0" fontId="72" fillId="11" borderId="0" xfId="1" applyFont="1" applyFill="1" applyBorder="1" applyAlignment="1">
      <alignment horizontal="center" vertical="center" wrapText="1"/>
    </xf>
    <xf numFmtId="9" fontId="4" fillId="19" borderId="15" xfId="0" applyNumberFormat="1" applyFont="1" applyFill="1" applyBorder="1" applyAlignment="1">
      <alignment horizontal="center" vertical="center" wrapText="1"/>
    </xf>
    <xf numFmtId="9" fontId="4" fillId="19" borderId="4" xfId="0" applyNumberFormat="1" applyFont="1" applyFill="1" applyBorder="1" applyAlignment="1">
      <alignment horizontal="center" vertical="center" wrapText="1"/>
    </xf>
    <xf numFmtId="0" fontId="6" fillId="0" borderId="16" xfId="0" applyFont="1" applyBorder="1" applyAlignment="1" applyProtection="1">
      <alignment horizontal="left" vertical="center" wrapText="1" indent="1"/>
      <protection locked="0"/>
    </xf>
    <xf numFmtId="0" fontId="6" fillId="0" borderId="0" xfId="0" applyFont="1" applyBorder="1" applyAlignment="1" applyProtection="1">
      <alignment horizontal="left" vertical="center" wrapText="1" indent="1"/>
      <protection locked="0"/>
    </xf>
    <xf numFmtId="0" fontId="5" fillId="6" borderId="0" xfId="0" applyFont="1" applyFill="1" applyBorder="1" applyAlignment="1" applyProtection="1">
      <alignment horizontal="center" vertical="center" wrapText="1"/>
      <protection locked="0"/>
    </xf>
    <xf numFmtId="0" fontId="8" fillId="3" borderId="1" xfId="0" applyFont="1" applyFill="1" applyBorder="1" applyAlignment="1">
      <alignment horizontal="left" vertical="center" wrapText="1" indent="1"/>
    </xf>
    <xf numFmtId="0" fontId="7" fillId="3" borderId="14" xfId="0" applyFont="1" applyFill="1" applyBorder="1" applyAlignment="1">
      <alignment horizontal="left" vertical="center" wrapText="1" indent="1"/>
    </xf>
    <xf numFmtId="0" fontId="7" fillId="3" borderId="8" xfId="0" applyFont="1" applyFill="1" applyBorder="1" applyAlignment="1">
      <alignment horizontal="left" vertical="center" wrapText="1" indent="1"/>
    </xf>
    <xf numFmtId="0" fontId="17" fillId="0" borderId="28" xfId="0" applyFont="1" applyBorder="1" applyAlignment="1" applyProtection="1">
      <alignment horizontal="left" vertical="center" wrapText="1" indent="1"/>
      <protection locked="0"/>
    </xf>
    <xf numFmtId="0" fontId="61" fillId="0" borderId="14" xfId="0" applyFont="1" applyBorder="1" applyAlignment="1" applyProtection="1">
      <alignment horizontal="left" vertical="center" wrapText="1" indent="1"/>
      <protection locked="0"/>
    </xf>
    <xf numFmtId="0" fontId="61" fillId="0" borderId="8" xfId="0" applyFont="1" applyBorder="1" applyAlignment="1" applyProtection="1">
      <alignment horizontal="left" vertical="center" wrapText="1" indent="1"/>
      <protection locked="0"/>
    </xf>
    <xf numFmtId="0" fontId="61" fillId="0" borderId="15" xfId="0" applyFont="1" applyBorder="1" applyAlignment="1" applyProtection="1">
      <alignment horizontal="left" vertical="center" wrapText="1" indent="1"/>
      <protection locked="0"/>
    </xf>
    <xf numFmtId="0" fontId="61" fillId="0" borderId="4" xfId="0" applyFont="1" applyBorder="1" applyAlignment="1" applyProtection="1">
      <alignment horizontal="left" vertical="center" wrapText="1" indent="1"/>
      <protection locked="0"/>
    </xf>
    <xf numFmtId="0" fontId="61" fillId="0" borderId="10" xfId="0" applyFont="1" applyBorder="1" applyAlignment="1" applyProtection="1">
      <alignment horizontal="left" vertical="center" wrapText="1" indent="1"/>
      <protection locked="0"/>
    </xf>
    <xf numFmtId="0" fontId="5" fillId="2" borderId="5"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5" fillId="2" borderId="7" xfId="0" applyFont="1" applyFill="1" applyBorder="1" applyAlignment="1">
      <alignment horizontal="center" vertical="center" wrapText="1"/>
    </xf>
    <xf numFmtId="9" fontId="4" fillId="3" borderId="5" xfId="0" applyNumberFormat="1" applyFont="1" applyFill="1" applyBorder="1" applyAlignment="1">
      <alignment horizontal="left" vertical="center" wrapText="1"/>
    </xf>
    <xf numFmtId="9" fontId="4" fillId="3" borderId="6" xfId="0" applyNumberFormat="1" applyFont="1" applyFill="1" applyBorder="1" applyAlignment="1">
      <alignment horizontal="left" vertical="center" wrapText="1"/>
    </xf>
    <xf numFmtId="9" fontId="4" fillId="3" borderId="7" xfId="0" applyNumberFormat="1" applyFont="1" applyFill="1" applyBorder="1" applyAlignment="1">
      <alignment horizontal="left" vertical="center" wrapText="1"/>
    </xf>
    <xf numFmtId="0" fontId="28" fillId="3" borderId="1" xfId="1" applyFill="1" applyBorder="1" applyAlignment="1">
      <alignment horizontal="center" vertical="center" wrapText="1"/>
    </xf>
    <xf numFmtId="0" fontId="4" fillId="57" borderId="3" xfId="0" applyFont="1" applyFill="1" applyBorder="1" applyAlignment="1">
      <alignment horizontal="center" vertical="center" wrapText="1"/>
    </xf>
    <xf numFmtId="0" fontId="4" fillId="60" borderId="3" xfId="0" applyFont="1" applyFill="1" applyBorder="1" applyAlignment="1">
      <alignment horizontal="center" vertical="center" wrapText="1"/>
    </xf>
    <xf numFmtId="0" fontId="50" fillId="0" borderId="0" xfId="0" applyFont="1" applyAlignment="1">
      <alignment horizontal="center" vertical="center" wrapText="1"/>
    </xf>
    <xf numFmtId="0" fontId="67" fillId="8" borderId="5" xfId="0" applyNumberFormat="1" applyFont="1" applyFill="1" applyBorder="1" applyAlignment="1">
      <alignment horizontal="left" vertical="center" indent="1"/>
    </xf>
    <xf numFmtId="0" fontId="67" fillId="8" borderId="6" xfId="0" applyNumberFormat="1" applyFont="1" applyFill="1" applyBorder="1" applyAlignment="1">
      <alignment horizontal="left" vertical="center" indent="1"/>
    </xf>
    <xf numFmtId="0" fontId="67" fillId="8" borderId="7" xfId="0" applyNumberFormat="1" applyFont="1" applyFill="1" applyBorder="1" applyAlignment="1">
      <alignment horizontal="left" vertical="center" indent="1"/>
    </xf>
    <xf numFmtId="49" fontId="67" fillId="8" borderId="5" xfId="0" applyNumberFormat="1" applyFont="1" applyFill="1" applyBorder="1" applyAlignment="1">
      <alignment horizontal="left" vertical="center" indent="1"/>
    </xf>
    <xf numFmtId="49" fontId="67" fillId="8" borderId="6" xfId="0" applyNumberFormat="1" applyFont="1" applyFill="1" applyBorder="1" applyAlignment="1">
      <alignment horizontal="left" vertical="center" indent="1"/>
    </xf>
    <xf numFmtId="0" fontId="24" fillId="8" borderId="1" xfId="0" applyFont="1" applyFill="1" applyBorder="1" applyAlignment="1">
      <alignment horizontal="left" vertical="center" wrapText="1" indent="1"/>
    </xf>
    <xf numFmtId="14" fontId="6" fillId="0" borderId="1" xfId="0" applyNumberFormat="1" applyFont="1" applyBorder="1" applyAlignment="1">
      <alignment horizontal="left" vertical="center" wrapText="1" indent="1"/>
    </xf>
    <xf numFmtId="0" fontId="6" fillId="0" borderId="1" xfId="0" applyFont="1" applyBorder="1" applyAlignment="1">
      <alignment horizontal="left" vertical="center" wrapText="1" indent="1"/>
    </xf>
    <xf numFmtId="0" fontId="10" fillId="0" borderId="0" xfId="0" applyFont="1" applyAlignment="1" applyProtection="1">
      <alignment horizontal="center" vertical="center" wrapText="1"/>
      <protection locked="0"/>
    </xf>
    <xf numFmtId="0" fontId="11" fillId="0" borderId="0" xfId="0" applyFont="1" applyAlignment="1" applyProtection="1">
      <alignment horizontal="center" vertical="center" wrapText="1"/>
      <protection locked="0"/>
    </xf>
    <xf numFmtId="0" fontId="3" fillId="2" borderId="1" xfId="0" applyFont="1" applyFill="1" applyBorder="1" applyAlignment="1" applyProtection="1">
      <alignment horizontal="center" vertical="center" wrapText="1"/>
      <protection locked="0"/>
    </xf>
    <xf numFmtId="0" fontId="6" fillId="0" borderId="14" xfId="0" applyFont="1" applyBorder="1" applyAlignment="1" applyProtection="1">
      <alignment horizontal="left" vertical="center" wrapText="1"/>
      <protection locked="0"/>
    </xf>
    <xf numFmtId="0" fontId="6" fillId="0" borderId="8" xfId="0" applyFont="1" applyBorder="1" applyAlignment="1" applyProtection="1">
      <alignment horizontal="left" vertical="center" wrapText="1"/>
      <protection locked="0"/>
    </xf>
    <xf numFmtId="0" fontId="6" fillId="0" borderId="0" xfId="0" applyFont="1" applyBorder="1" applyAlignment="1" applyProtection="1">
      <alignment horizontal="left" vertical="center" wrapText="1"/>
      <protection locked="0"/>
    </xf>
    <xf numFmtId="0" fontId="6" fillId="0" borderId="9" xfId="0" applyFont="1" applyBorder="1" applyAlignment="1" applyProtection="1">
      <alignment horizontal="left" vertical="center" wrapText="1"/>
      <protection locked="0"/>
    </xf>
    <xf numFmtId="0" fontId="6" fillId="0" borderId="4" xfId="0" applyFont="1" applyBorder="1" applyAlignment="1" applyProtection="1">
      <alignment horizontal="left" vertical="center" wrapText="1"/>
      <protection locked="0"/>
    </xf>
    <xf numFmtId="0" fontId="6" fillId="0" borderId="10" xfId="0" applyFont="1" applyBorder="1" applyAlignment="1" applyProtection="1">
      <alignment horizontal="left" vertical="center" wrapText="1"/>
      <protection locked="0"/>
    </xf>
    <xf numFmtId="0" fontId="58" fillId="3" borderId="5" xfId="0" applyFont="1" applyFill="1" applyBorder="1" applyAlignment="1">
      <alignment horizontal="center" vertical="center" wrapText="1"/>
    </xf>
    <xf numFmtId="0" fontId="58" fillId="3" borderId="6" xfId="0" applyFont="1" applyFill="1" applyBorder="1" applyAlignment="1">
      <alignment horizontal="center" vertical="center" wrapText="1"/>
    </xf>
    <xf numFmtId="0" fontId="58" fillId="3" borderId="7" xfId="0" applyFont="1" applyFill="1" applyBorder="1" applyAlignment="1">
      <alignment horizontal="center" vertical="center" wrapText="1"/>
    </xf>
    <xf numFmtId="0" fontId="0" fillId="3" borderId="5" xfId="0" applyFont="1" applyFill="1" applyBorder="1" applyAlignment="1">
      <alignment horizontal="center" vertical="center" wrapText="1"/>
    </xf>
    <xf numFmtId="0" fontId="0" fillId="3" borderId="6" xfId="0" applyFont="1" applyFill="1" applyBorder="1" applyAlignment="1">
      <alignment horizontal="center" vertical="center" wrapText="1"/>
    </xf>
    <xf numFmtId="0" fontId="0" fillId="3" borderId="7" xfId="0" applyFont="1" applyFill="1" applyBorder="1" applyAlignment="1">
      <alignment horizontal="center" vertical="center" wrapText="1"/>
    </xf>
    <xf numFmtId="0" fontId="0" fillId="3" borderId="16" xfId="0" applyFill="1" applyBorder="1" applyAlignment="1">
      <alignment horizontal="left" vertical="center"/>
    </xf>
    <xf numFmtId="0" fontId="0" fillId="3" borderId="0" xfId="0" applyFill="1" applyBorder="1" applyAlignment="1">
      <alignment horizontal="left" vertical="center"/>
    </xf>
    <xf numFmtId="0" fontId="0" fillId="3" borderId="9" xfId="0" applyFill="1" applyBorder="1" applyAlignment="1">
      <alignment horizontal="left" vertical="center"/>
    </xf>
    <xf numFmtId="0" fontId="0" fillId="3" borderId="15" xfId="0" applyFill="1" applyBorder="1" applyAlignment="1">
      <alignment horizontal="left" vertical="center"/>
    </xf>
    <xf numFmtId="0" fontId="0" fillId="3" borderId="4" xfId="0" applyFill="1" applyBorder="1" applyAlignment="1">
      <alignment horizontal="left" vertical="center"/>
    </xf>
    <xf numFmtId="0" fontId="0" fillId="3" borderId="10" xfId="0" applyFill="1" applyBorder="1" applyAlignment="1">
      <alignment horizontal="left" vertical="center"/>
    </xf>
    <xf numFmtId="0" fontId="5" fillId="2" borderId="5" xfId="0" applyFont="1" applyFill="1" applyBorder="1" applyAlignment="1">
      <alignment horizontal="left" vertical="center" wrapText="1"/>
    </xf>
    <xf numFmtId="0" fontId="5" fillId="2" borderId="6" xfId="0" applyFont="1" applyFill="1" applyBorder="1" applyAlignment="1">
      <alignment horizontal="left" vertical="center" wrapText="1"/>
    </xf>
    <xf numFmtId="0" fontId="5" fillId="2" borderId="7" xfId="0" applyFont="1" applyFill="1" applyBorder="1" applyAlignment="1">
      <alignment horizontal="left" vertical="center" wrapText="1"/>
    </xf>
    <xf numFmtId="0" fontId="68" fillId="0" borderId="5" xfId="0" applyFont="1" applyBorder="1" applyAlignment="1">
      <alignment horizontal="center" vertical="center" wrapText="1"/>
    </xf>
    <xf numFmtId="0" fontId="68" fillId="0" borderId="6" xfId="0" applyFont="1" applyBorder="1" applyAlignment="1">
      <alignment horizontal="center" vertical="center" wrapText="1"/>
    </xf>
    <xf numFmtId="0" fontId="68" fillId="0" borderId="7" xfId="0" applyFont="1" applyBorder="1" applyAlignment="1">
      <alignment horizontal="center" vertical="center" wrapText="1"/>
    </xf>
    <xf numFmtId="0" fontId="0" fillId="3" borderId="5" xfId="0" applyFill="1" applyBorder="1" applyAlignment="1">
      <alignment horizontal="left" vertical="center" wrapText="1"/>
    </xf>
    <xf numFmtId="0" fontId="0" fillId="3" borderId="6" xfId="0" applyFill="1" applyBorder="1" applyAlignment="1">
      <alignment horizontal="left" vertical="center" wrapText="1"/>
    </xf>
    <xf numFmtId="0" fontId="0" fillId="3" borderId="7" xfId="0" applyFill="1" applyBorder="1" applyAlignment="1">
      <alignment horizontal="left" vertical="center" wrapText="1"/>
    </xf>
    <xf numFmtId="0" fontId="78" fillId="3" borderId="28" xfId="0" applyFont="1" applyFill="1" applyBorder="1" applyAlignment="1">
      <alignment horizontal="center" vertical="center" wrapText="1"/>
    </xf>
    <xf numFmtId="0" fontId="78" fillId="3" borderId="14" xfId="0" applyFont="1" applyFill="1" applyBorder="1" applyAlignment="1">
      <alignment horizontal="center" vertical="center" wrapText="1"/>
    </xf>
    <xf numFmtId="0" fontId="78" fillId="3" borderId="8" xfId="0" applyFont="1" applyFill="1" applyBorder="1" applyAlignment="1">
      <alignment horizontal="center" vertical="center" wrapText="1"/>
    </xf>
    <xf numFmtId="0" fontId="78" fillId="3" borderId="16" xfId="0" applyFont="1" applyFill="1" applyBorder="1" applyAlignment="1">
      <alignment horizontal="center" vertical="center" wrapText="1"/>
    </xf>
    <xf numFmtId="0" fontId="78" fillId="3" borderId="0" xfId="0" applyFont="1" applyFill="1" applyBorder="1" applyAlignment="1">
      <alignment horizontal="center" vertical="center" wrapText="1"/>
    </xf>
    <xf numFmtId="0" fontId="78" fillId="3" borderId="9" xfId="0" applyFont="1" applyFill="1" applyBorder="1" applyAlignment="1">
      <alignment horizontal="center" vertical="center" wrapText="1"/>
    </xf>
    <xf numFmtId="0" fontId="78" fillId="3" borderId="15" xfId="0" applyFont="1" applyFill="1" applyBorder="1" applyAlignment="1">
      <alignment horizontal="center" vertical="center" wrapText="1"/>
    </xf>
    <xf numFmtId="0" fontId="78" fillId="3" borderId="4" xfId="0" applyFont="1" applyFill="1" applyBorder="1" applyAlignment="1">
      <alignment horizontal="center" vertical="center" wrapText="1"/>
    </xf>
    <xf numFmtId="0" fontId="78" fillId="3" borderId="10" xfId="0" applyFont="1" applyFill="1" applyBorder="1" applyAlignment="1">
      <alignment horizontal="center" vertical="center" wrapText="1"/>
    </xf>
    <xf numFmtId="0" fontId="15" fillId="8" borderId="5" xfId="0" applyFont="1" applyFill="1" applyBorder="1" applyAlignment="1">
      <alignment horizontal="left" vertical="center" wrapText="1"/>
    </xf>
    <xf numFmtId="0" fontId="15" fillId="8" borderId="6" xfId="0" applyFont="1" applyFill="1" applyBorder="1" applyAlignment="1">
      <alignment horizontal="left" vertical="center" wrapText="1"/>
    </xf>
    <xf numFmtId="0" fontId="15" fillId="8" borderId="7" xfId="0" applyFont="1" applyFill="1" applyBorder="1" applyAlignment="1">
      <alignment horizontal="left" vertical="center" wrapText="1"/>
    </xf>
    <xf numFmtId="0" fontId="0" fillId="3" borderId="5" xfId="0" applyFill="1" applyBorder="1" applyAlignment="1">
      <alignment horizontal="center" vertical="center" wrapText="1"/>
    </xf>
    <xf numFmtId="0" fontId="0" fillId="3" borderId="6" xfId="0" applyFill="1" applyBorder="1" applyAlignment="1">
      <alignment horizontal="center" vertical="center" wrapText="1"/>
    </xf>
    <xf numFmtId="0" fontId="0" fillId="3" borderId="7" xfId="0" applyFill="1" applyBorder="1" applyAlignment="1">
      <alignment horizontal="center" vertical="center" wrapText="1"/>
    </xf>
    <xf numFmtId="0" fontId="17" fillId="3" borderId="5" xfId="0" applyFont="1" applyFill="1" applyBorder="1" applyAlignment="1">
      <alignment horizontal="left" vertical="center" readingOrder="1"/>
    </xf>
    <xf numFmtId="0" fontId="17" fillId="3" borderId="7" xfId="0" applyFont="1" applyFill="1" applyBorder="1" applyAlignment="1">
      <alignment horizontal="left" vertical="center" readingOrder="1"/>
    </xf>
    <xf numFmtId="0" fontId="28" fillId="3" borderId="5" xfId="1" applyFill="1" applyBorder="1" applyAlignment="1">
      <alignment horizontal="center" vertical="center" wrapText="1"/>
    </xf>
    <xf numFmtId="0" fontId="28" fillId="3" borderId="6" xfId="1" applyFill="1" applyBorder="1" applyAlignment="1">
      <alignment horizontal="center" vertical="center" wrapText="1"/>
    </xf>
    <xf numFmtId="0" fontId="28" fillId="3" borderId="7" xfId="1" applyFill="1" applyBorder="1" applyAlignment="1">
      <alignment horizontal="center" vertical="center" wrapText="1"/>
    </xf>
    <xf numFmtId="0" fontId="5" fillId="2" borderId="1" xfId="0" applyFont="1" applyFill="1" applyBorder="1" applyAlignment="1">
      <alignment horizontal="left" vertical="center" wrapText="1"/>
    </xf>
    <xf numFmtId="0" fontId="15" fillId="8" borderId="2" xfId="0" applyFont="1" applyFill="1" applyBorder="1" applyAlignment="1">
      <alignment horizontal="left" vertical="center" wrapText="1" indent="1"/>
    </xf>
    <xf numFmtId="0" fontId="15" fillId="8" borderId="3" xfId="0" applyFont="1" applyFill="1" applyBorder="1" applyAlignment="1">
      <alignment horizontal="left" vertical="center" wrapText="1" indent="1"/>
    </xf>
    <xf numFmtId="0" fontId="0" fillId="3" borderId="5" xfId="0" applyFont="1" applyFill="1" applyBorder="1" applyAlignment="1">
      <alignment horizontal="left" vertical="center" wrapText="1" indent="1"/>
    </xf>
    <xf numFmtId="0" fontId="0" fillId="3" borderId="6" xfId="0" applyFont="1" applyFill="1" applyBorder="1" applyAlignment="1">
      <alignment horizontal="left" vertical="center" wrapText="1" indent="1"/>
    </xf>
    <xf numFmtId="0" fontId="0" fillId="3" borderId="7" xfId="0" applyFont="1" applyFill="1" applyBorder="1" applyAlignment="1">
      <alignment horizontal="left" vertical="center" wrapText="1" indent="1"/>
    </xf>
    <xf numFmtId="0" fontId="62" fillId="3" borderId="1" xfId="1" applyFont="1" applyFill="1" applyBorder="1" applyAlignment="1">
      <alignment horizontal="center" vertical="center" wrapText="1"/>
    </xf>
    <xf numFmtId="0" fontId="5" fillId="2" borderId="5" xfId="0" applyFont="1" applyFill="1" applyBorder="1" applyAlignment="1" applyProtection="1">
      <alignment horizontal="left" vertical="center" wrapText="1"/>
      <protection locked="0"/>
    </xf>
    <xf numFmtId="0" fontId="5" fillId="2" borderId="7" xfId="0" applyFont="1" applyFill="1" applyBorder="1" applyAlignment="1" applyProtection="1">
      <alignment horizontal="left" vertical="center" wrapText="1"/>
      <protection locked="0"/>
    </xf>
    <xf numFmtId="0" fontId="24" fillId="0" borderId="5" xfId="0" applyFont="1" applyBorder="1" applyAlignment="1" applyProtection="1">
      <alignment horizontal="right" vertical="top" wrapText="1"/>
      <protection locked="0"/>
    </xf>
    <xf numFmtId="0" fontId="24" fillId="0" borderId="7" xfId="0" applyFont="1" applyBorder="1" applyAlignment="1" applyProtection="1">
      <alignment horizontal="right" vertical="top" wrapText="1"/>
      <protection locked="0"/>
    </xf>
    <xf numFmtId="0" fontId="4" fillId="3" borderId="4" xfId="0" applyFont="1" applyFill="1" applyBorder="1" applyAlignment="1">
      <alignment horizontal="center" vertical="center" wrapText="1"/>
    </xf>
    <xf numFmtId="0" fontId="6" fillId="3" borderId="5"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center" vertical="center" wrapText="1"/>
    </xf>
    <xf numFmtId="0" fontId="8" fillId="0" borderId="5" xfId="0" applyFont="1" applyBorder="1" applyAlignment="1">
      <alignment horizontal="center" vertical="center" wrapText="1"/>
    </xf>
    <xf numFmtId="0" fontId="8" fillId="0" borderId="6" xfId="0" applyFont="1" applyBorder="1" applyAlignment="1">
      <alignment horizontal="center" vertical="center" wrapText="1"/>
    </xf>
    <xf numFmtId="0" fontId="8" fillId="0" borderId="7" xfId="0" applyFont="1" applyBorder="1" applyAlignment="1">
      <alignment horizontal="center" vertical="center" wrapText="1"/>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xf>
    <xf numFmtId="0" fontId="67" fillId="8" borderId="5" xfId="0" applyFont="1" applyFill="1" applyBorder="1" applyAlignment="1">
      <alignment horizontal="left" vertical="center" wrapText="1"/>
    </xf>
    <xf numFmtId="0" fontId="67" fillId="8" borderId="6" xfId="0" applyFont="1" applyFill="1" applyBorder="1" applyAlignment="1">
      <alignment horizontal="left" vertical="center" wrapText="1"/>
    </xf>
    <xf numFmtId="0" fontId="17" fillId="8" borderId="5" xfId="0" applyFont="1" applyFill="1" applyBorder="1" applyAlignment="1">
      <alignment horizontal="left" vertical="center" wrapText="1"/>
    </xf>
    <xf numFmtId="0" fontId="17" fillId="8" borderId="6" xfId="0" applyFont="1" applyFill="1" applyBorder="1" applyAlignment="1">
      <alignment horizontal="left" vertical="center" wrapText="1"/>
    </xf>
    <xf numFmtId="9" fontId="4" fillId="3" borderId="5" xfId="0" applyNumberFormat="1" applyFont="1" applyFill="1" applyBorder="1" applyAlignment="1">
      <alignment horizontal="center" vertical="center" wrapText="1"/>
    </xf>
    <xf numFmtId="9" fontId="4" fillId="3" borderId="7" xfId="0" applyNumberFormat="1" applyFont="1" applyFill="1" applyBorder="1" applyAlignment="1">
      <alignment horizontal="center" vertical="center" wrapText="1"/>
    </xf>
    <xf numFmtId="0" fontId="5" fillId="59" borderId="1" xfId="0" applyFont="1" applyFill="1" applyBorder="1" applyAlignment="1">
      <alignment horizontal="center" vertical="center"/>
    </xf>
    <xf numFmtId="0" fontId="7" fillId="0" borderId="1" xfId="0" applyFont="1" applyFill="1" applyBorder="1" applyAlignment="1" applyProtection="1">
      <alignment horizontal="left" vertical="center" wrapText="1" indent="1"/>
      <protection locked="0"/>
    </xf>
  </cellXfs>
  <cellStyles count="45">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cellStyle name="Note" xfId="16" builtinId="10" customBuiltin="1"/>
    <cellStyle name="Output" xfId="11" builtinId="21" customBuiltin="1"/>
    <cellStyle name="Percent" xfId="44" builtinId="5"/>
    <cellStyle name="Title" xfId="2" builtinId="15" customBuiltin="1"/>
    <cellStyle name="Total" xfId="18" builtinId="25" customBuiltin="1"/>
    <cellStyle name="Warning Text" xfId="15" builtinId="11" customBuiltin="1"/>
  </cellStyles>
  <dxfs count="180">
    <dxf>
      <font>
        <b val="0"/>
        <i val="0"/>
        <strike val="0"/>
        <condense val="0"/>
        <extend val="0"/>
        <outline val="0"/>
        <shadow val="0"/>
        <u val="none"/>
        <vertAlign val="baseline"/>
        <sz val="12"/>
        <color rgb="FF002060"/>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002060"/>
        <name val="Calibri"/>
        <scheme val="minor"/>
      </font>
      <fill>
        <patternFill patternType="none">
          <fgColor indexed="64"/>
          <bgColor indexed="65"/>
        </patternFill>
      </fill>
      <alignment horizontal="center" vertical="center" textRotation="0" wrapText="1" indent="0" justifyLastLine="0" shrinkToFit="0" readingOrder="0"/>
      <protection locked="0" hidden="0"/>
    </dxf>
    <dxf>
      <border>
        <bottom style="thin">
          <color indexed="64"/>
        </bottom>
      </border>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rgb="FF002060"/>
        <name val="Calibri"/>
        <scheme val="minor"/>
      </font>
      <fill>
        <patternFill patternType="none">
          <fgColor indexed="64"/>
          <bgColor auto="1"/>
        </patternFill>
      </fill>
      <alignment horizontal="center" vertical="center" textRotation="0" wrapText="1" indent="0" justifyLastLine="0" shrinkToFit="0" readingOrder="0"/>
      <border diagonalUp="0" diagonalDown="0">
        <left/>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002060"/>
        <name val="Calibri"/>
        <scheme val="minor"/>
      </font>
      <fill>
        <patternFill patternType="none">
          <fgColor indexed="64"/>
          <bgColor auto="1"/>
        </patternFill>
      </fill>
      <alignment horizontal="center" vertical="center" textRotation="0" wrapText="1" indent="0" justifyLastLine="0" shrinkToFit="0" readingOrder="0"/>
      <protection locked="0" hidden="0"/>
    </dxf>
    <dxf>
      <border>
        <bottom style="thin">
          <color indexed="64"/>
        </bottom>
      </border>
    </dxf>
    <dxf>
      <font>
        <strike val="0"/>
        <outline val="0"/>
        <shadow val="0"/>
        <u val="none"/>
        <vertAlign val="baseline"/>
        <sz val="12"/>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theme="0"/>
      </font>
      <fill>
        <patternFill>
          <bgColor theme="1"/>
        </patternFill>
      </fill>
    </dxf>
    <dxf>
      <font>
        <b/>
        <i val="0"/>
        <color theme="0"/>
      </font>
      <fill>
        <patternFill>
          <bgColor rgb="FFFF0000"/>
        </patternFill>
      </fill>
    </dxf>
    <dxf>
      <font>
        <b/>
        <i val="0"/>
        <color theme="1"/>
      </font>
      <fill>
        <patternFill>
          <bgColor rgb="FFFFFF00"/>
        </patternFill>
      </fill>
    </dxf>
    <dxf>
      <font>
        <b val="0"/>
        <i val="0"/>
      </font>
      <fill>
        <patternFill>
          <bgColor rgb="FF66FF66"/>
        </patternFill>
      </fill>
    </dxf>
    <dxf>
      <font>
        <b/>
        <i val="0"/>
        <color theme="0"/>
      </font>
      <fill>
        <patternFill>
          <bgColor theme="1"/>
        </patternFill>
      </fill>
    </dxf>
    <dxf>
      <font>
        <b/>
        <i val="0"/>
        <color theme="0"/>
      </font>
      <fill>
        <patternFill>
          <bgColor rgb="FFFF0000"/>
        </patternFill>
      </fill>
    </dxf>
    <dxf>
      <font>
        <b/>
        <i val="0"/>
        <color theme="1"/>
      </font>
      <fill>
        <patternFill>
          <bgColor rgb="FFFFFF00"/>
        </patternFill>
      </fill>
    </dxf>
    <dxf>
      <font>
        <b val="0"/>
        <i val="0"/>
      </font>
      <fill>
        <patternFill>
          <bgColor rgb="FF66FF66"/>
        </patternFill>
      </fill>
    </dxf>
    <dxf>
      <font>
        <b/>
        <i val="0"/>
        <color rgb="FF00B0F0"/>
      </font>
    </dxf>
    <dxf>
      <font>
        <color auto="1"/>
      </font>
      <fill>
        <patternFill>
          <bgColor rgb="FFFF0000"/>
        </patternFill>
      </fill>
    </dxf>
    <dxf>
      <font>
        <color auto="1"/>
      </font>
      <fill>
        <patternFill>
          <bgColor rgb="FF43F52B"/>
        </patternFill>
      </fill>
    </dxf>
    <dxf>
      <font>
        <b/>
        <i val="0"/>
        <color rgb="FF00B0F0"/>
      </font>
      <fill>
        <patternFill>
          <bgColor rgb="FFFFFF00"/>
        </patternFill>
      </fill>
    </dxf>
    <dxf>
      <font>
        <color auto="1"/>
      </font>
      <fill>
        <patternFill>
          <bgColor theme="0" tint="-0.24994659260841701"/>
        </patternFill>
      </fill>
    </dxf>
    <dxf>
      <fill>
        <patternFill>
          <bgColor theme="0" tint="-0.24994659260841701"/>
        </patternFill>
      </fill>
    </dxf>
    <dxf>
      <font>
        <color auto="1"/>
      </font>
      <fill>
        <patternFill>
          <bgColor theme="0" tint="-0.24994659260841701"/>
        </patternFill>
      </fill>
    </dxf>
    <dxf>
      <font>
        <color theme="0"/>
      </font>
      <fill>
        <patternFill>
          <bgColor rgb="FFFF0000"/>
        </patternFill>
      </fill>
    </dxf>
    <dxf>
      <font>
        <color auto="1"/>
      </font>
      <fill>
        <patternFill>
          <bgColor rgb="FF92D050"/>
        </patternFill>
      </fill>
    </dxf>
    <dxf>
      <font>
        <color auto="1"/>
      </font>
      <fill>
        <patternFill>
          <bgColor rgb="FFFFFF00"/>
        </patternFill>
      </fill>
    </dxf>
    <dxf>
      <font>
        <color theme="0"/>
      </font>
      <fill>
        <patternFill>
          <bgColor theme="1"/>
        </patternFill>
      </fill>
    </dxf>
    <dxf>
      <fill>
        <patternFill>
          <bgColor theme="0" tint="-0.24994659260841701"/>
        </patternFill>
      </fill>
    </dxf>
    <dxf>
      <font>
        <b/>
        <i val="0"/>
        <color theme="0"/>
      </font>
      <fill>
        <patternFill>
          <bgColor theme="1"/>
        </patternFill>
      </fill>
    </dxf>
    <dxf>
      <font>
        <b/>
        <i val="0"/>
        <color theme="0"/>
      </font>
      <fill>
        <patternFill>
          <bgColor rgb="FFFF0000"/>
        </patternFill>
      </fill>
    </dxf>
    <dxf>
      <font>
        <b/>
        <i val="0"/>
        <color theme="1"/>
      </font>
      <fill>
        <patternFill>
          <bgColor rgb="FFFFFF00"/>
        </patternFill>
      </fill>
    </dxf>
    <dxf>
      <font>
        <b val="0"/>
        <i val="0"/>
      </font>
      <fill>
        <patternFill>
          <bgColor rgb="FF66FF66"/>
        </patternFill>
      </fill>
    </dxf>
    <dxf>
      <font>
        <b/>
        <i val="0"/>
        <color theme="0"/>
      </font>
      <fill>
        <patternFill>
          <bgColor theme="1"/>
        </patternFill>
      </fill>
    </dxf>
    <dxf>
      <font>
        <b/>
        <i val="0"/>
        <color theme="0"/>
      </font>
      <fill>
        <patternFill>
          <bgColor rgb="FFFF0000"/>
        </patternFill>
      </fill>
    </dxf>
    <dxf>
      <font>
        <b/>
        <i val="0"/>
        <color theme="1"/>
      </font>
      <fill>
        <patternFill>
          <bgColor rgb="FFFFFF00"/>
        </patternFill>
      </fill>
    </dxf>
    <dxf>
      <font>
        <b val="0"/>
        <i val="0"/>
      </font>
      <fill>
        <patternFill>
          <bgColor rgb="FF66FF66"/>
        </patternFill>
      </fill>
    </dxf>
    <dxf>
      <fill>
        <patternFill>
          <bgColor rgb="FF66FF66"/>
        </patternFill>
      </fill>
    </dxf>
    <dxf>
      <fill>
        <patternFill>
          <bgColor rgb="FF66FF66"/>
        </patternFill>
      </fill>
    </dxf>
    <dxf>
      <fill>
        <patternFill>
          <bgColor rgb="FF66FF66"/>
        </patternFill>
      </fill>
    </dxf>
    <dxf>
      <fill>
        <patternFill>
          <bgColor rgb="FF66FF66"/>
        </patternFill>
      </fill>
    </dxf>
    <dxf>
      <fill>
        <patternFill>
          <bgColor rgb="FF66FF66"/>
        </patternFill>
      </fill>
    </dxf>
    <dxf>
      <fill>
        <patternFill>
          <bgColor rgb="FF66FF66"/>
        </patternFill>
      </fill>
    </dxf>
    <dxf>
      <fill>
        <patternFill>
          <bgColor rgb="FF66FF66"/>
        </patternFill>
      </fill>
    </dxf>
    <dxf>
      <fill>
        <patternFill>
          <bgColor rgb="FF66FF66"/>
        </patternFill>
      </fill>
    </dxf>
    <dxf>
      <fill>
        <patternFill>
          <bgColor rgb="FF66FF66"/>
        </patternFill>
      </fill>
    </dxf>
    <dxf>
      <fill>
        <patternFill>
          <bgColor rgb="FF66FF66"/>
        </patternFill>
      </fill>
    </dxf>
    <dxf>
      <fill>
        <patternFill>
          <bgColor rgb="FF66FF66"/>
        </patternFill>
      </fill>
    </dxf>
    <dxf>
      <fill>
        <patternFill>
          <bgColor rgb="FF66FF66"/>
        </patternFill>
      </fill>
    </dxf>
    <dxf>
      <font>
        <b/>
        <i val="0"/>
        <color theme="0"/>
      </font>
      <fill>
        <patternFill>
          <bgColor theme="1"/>
        </patternFill>
      </fill>
    </dxf>
    <dxf>
      <font>
        <b/>
        <i val="0"/>
        <color theme="0"/>
      </font>
      <fill>
        <patternFill>
          <bgColor rgb="FFFF0000"/>
        </patternFill>
      </fill>
    </dxf>
    <dxf>
      <font>
        <b/>
        <i val="0"/>
        <color theme="1"/>
      </font>
      <fill>
        <patternFill>
          <bgColor rgb="FFFFFF00"/>
        </patternFill>
      </fill>
    </dxf>
    <dxf>
      <font>
        <b val="0"/>
        <i val="0"/>
      </font>
      <fill>
        <patternFill>
          <bgColor rgb="FF66FF66"/>
        </patternFill>
      </fill>
    </dxf>
    <dxf>
      <fill>
        <patternFill>
          <bgColor rgb="FF66FF66"/>
        </patternFill>
      </fill>
    </dxf>
    <dxf>
      <fill>
        <patternFill>
          <bgColor rgb="FF66FF66"/>
        </patternFill>
      </fill>
    </dxf>
    <dxf>
      <fill>
        <patternFill>
          <bgColor rgb="FF66FF66"/>
        </patternFill>
      </fill>
    </dxf>
    <dxf>
      <fill>
        <patternFill>
          <bgColor rgb="FF66FF66"/>
        </patternFill>
      </fill>
    </dxf>
    <dxf>
      <fill>
        <patternFill>
          <bgColor rgb="FF66FF66"/>
        </patternFill>
      </fill>
    </dxf>
    <dxf>
      <fill>
        <patternFill>
          <bgColor rgb="FF66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ont>
        <b/>
        <i val="0"/>
        <color rgb="FF00B0F0"/>
      </font>
    </dxf>
    <dxf>
      <font>
        <color auto="1"/>
      </font>
      <fill>
        <patternFill>
          <bgColor rgb="FFFF0000"/>
        </patternFill>
      </fill>
    </dxf>
    <dxf>
      <font>
        <color auto="1"/>
      </font>
      <fill>
        <patternFill>
          <bgColor rgb="FF43F52B"/>
        </patternFill>
      </fill>
    </dxf>
    <dxf>
      <font>
        <b/>
        <i val="0"/>
        <color rgb="FF00B0F0"/>
      </font>
      <fill>
        <patternFill>
          <bgColor rgb="FFFFFF00"/>
        </patternFill>
      </fill>
    </dxf>
    <dxf>
      <font>
        <color auto="1"/>
      </font>
      <fill>
        <patternFill>
          <bgColor theme="0" tint="-0.24994659260841701"/>
        </patternFill>
      </fill>
    </dxf>
    <dxf>
      <font>
        <b/>
        <i val="0"/>
        <color rgb="FF00B0F0"/>
      </font>
    </dxf>
    <dxf>
      <font>
        <color auto="1"/>
      </font>
      <fill>
        <patternFill>
          <bgColor rgb="FFFF0000"/>
        </patternFill>
      </fill>
    </dxf>
    <dxf>
      <font>
        <color auto="1"/>
      </font>
      <fill>
        <patternFill>
          <bgColor rgb="FF43F52B"/>
        </patternFill>
      </fill>
    </dxf>
    <dxf>
      <font>
        <b/>
        <i val="0"/>
        <color rgb="FF00B0F0"/>
      </font>
      <fill>
        <patternFill>
          <bgColor rgb="FFFFFF00"/>
        </patternFill>
      </fill>
    </dxf>
    <dxf>
      <font>
        <color auto="1"/>
      </font>
      <fill>
        <patternFill>
          <bgColor theme="0" tint="-0.24994659260841701"/>
        </patternFill>
      </fill>
    </dxf>
    <dxf>
      <font>
        <b/>
        <i val="0"/>
        <color rgb="FF00B0F0"/>
      </font>
    </dxf>
    <dxf>
      <font>
        <color auto="1"/>
      </font>
      <fill>
        <patternFill>
          <bgColor rgb="FFFF0000"/>
        </patternFill>
      </fill>
    </dxf>
    <dxf>
      <font>
        <color auto="1"/>
      </font>
      <fill>
        <patternFill>
          <bgColor rgb="FF43F52B"/>
        </patternFill>
      </fill>
    </dxf>
    <dxf>
      <font>
        <b/>
        <i val="0"/>
        <color rgb="FF00B0F0"/>
      </font>
      <fill>
        <patternFill>
          <bgColor rgb="FFFFFF00"/>
        </patternFill>
      </fill>
    </dxf>
    <dxf>
      <font>
        <color auto="1"/>
      </font>
      <fill>
        <patternFill>
          <bgColor theme="0" tint="-0.24994659260841701"/>
        </patternFill>
      </fill>
    </dxf>
    <dxf>
      <font>
        <b/>
        <i val="0"/>
        <color rgb="FF00B0F0"/>
      </font>
    </dxf>
    <dxf>
      <font>
        <color auto="1"/>
      </font>
      <fill>
        <patternFill>
          <bgColor rgb="FFFF0000"/>
        </patternFill>
      </fill>
    </dxf>
    <dxf>
      <font>
        <color auto="1"/>
      </font>
      <fill>
        <patternFill>
          <bgColor rgb="FF43F52B"/>
        </patternFill>
      </fill>
    </dxf>
    <dxf>
      <font>
        <b/>
        <i val="0"/>
        <color rgb="FF00B0F0"/>
      </font>
      <fill>
        <patternFill>
          <bgColor rgb="FFFFFF00"/>
        </patternFill>
      </fill>
    </dxf>
    <dxf>
      <font>
        <color auto="1"/>
      </font>
      <fill>
        <patternFill>
          <bgColor theme="0" tint="-0.24994659260841701"/>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ont>
        <b/>
        <i val="0"/>
        <color theme="0"/>
      </font>
      <fill>
        <patternFill>
          <bgColor theme="1"/>
        </patternFill>
      </fill>
    </dxf>
    <dxf>
      <font>
        <b/>
        <i val="0"/>
        <color theme="0"/>
      </font>
      <fill>
        <patternFill>
          <bgColor rgb="FFFF0000"/>
        </patternFill>
      </fill>
    </dxf>
    <dxf>
      <font>
        <b/>
        <i val="0"/>
        <color theme="1"/>
      </font>
      <fill>
        <patternFill>
          <bgColor rgb="FFFFFF00"/>
        </patternFill>
      </fill>
    </dxf>
    <dxf>
      <font>
        <b val="0"/>
        <i val="0"/>
      </font>
      <fill>
        <patternFill>
          <bgColor rgb="FF66FF66"/>
        </patternFill>
      </fill>
    </dxf>
    <dxf>
      <font>
        <b/>
        <i val="0"/>
        <color rgb="FF00B0F0"/>
      </font>
    </dxf>
    <dxf>
      <font>
        <color auto="1"/>
      </font>
      <fill>
        <patternFill>
          <bgColor rgb="FFFF0000"/>
        </patternFill>
      </fill>
    </dxf>
    <dxf>
      <font>
        <color auto="1"/>
      </font>
      <fill>
        <patternFill>
          <bgColor rgb="FF43F52B"/>
        </patternFill>
      </fill>
    </dxf>
    <dxf>
      <font>
        <b/>
        <i val="0"/>
        <color rgb="FF00B0F0"/>
      </font>
      <fill>
        <patternFill>
          <bgColor rgb="FFFFFF00"/>
        </patternFill>
      </fill>
    </dxf>
    <dxf>
      <font>
        <color auto="1"/>
      </font>
      <fill>
        <patternFill>
          <bgColor theme="0" tint="-0.24994659260841701"/>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
      <fill>
        <patternFill>
          <bgColor rgb="FFFFFF00"/>
        </patternFill>
      </fill>
    </dxf>
    <dxf>
      <fill>
        <patternFill>
          <bgColor rgb="FFFF0000"/>
        </patternFill>
      </fill>
    </dxf>
    <dxf>
      <font>
        <color theme="0"/>
      </font>
      <fill>
        <patternFill>
          <bgColor theme="1" tint="0.34998626667073579"/>
        </patternFill>
      </fill>
    </dxf>
    <dxf>
      <fill>
        <patternFill>
          <bgColor rgb="FF99FF66"/>
        </patternFill>
      </fill>
    </dxf>
  </dxfs>
  <tableStyles count="0" defaultTableStyle="TableStyleMedium9" defaultPivotStyle="PivotStyleLight16"/>
  <colors>
    <mruColors>
      <color rgb="FF66FF33"/>
      <color rgb="FF66FF99"/>
      <color rgb="FFFFFFCC"/>
      <color rgb="FF99FF66"/>
      <color rgb="FFFFFF99"/>
      <color rgb="FF99CCFF"/>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sharedStrings" Target="sharedStrings.xml"/>
  <Relationship Id="rId11" Type="http://schemas.openxmlformats.org/officeDocument/2006/relationships/calcChain" Target="calcChain.xml"/>
  <Relationship Id="rId12" Type="http://schemas.openxmlformats.org/officeDocument/2006/relationships/customXml" Target="../customXml/item1.xml"/>
  <Relationship Id="rId13" Type="http://schemas.openxmlformats.org/officeDocument/2006/relationships/customXml" Target="../customXml/item2.xml"/>
  <Relationship Id="rId14" Type="http://schemas.openxmlformats.org/officeDocument/2006/relationships/customXml" Target="../customXml/item3.xml"/>
  <Relationship Id="rId15"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theme" Target="theme/theme1.xml"/>
  <Relationship Id="rId9" Type="http://schemas.openxmlformats.org/officeDocument/2006/relationships/styles" Target="styles.xml"/>
</Relationships>

</file>

<file path=xl/drawings/_rels/drawing1.xml.rels><?xml version="1.0" encoding="UTF-8"?>

<Relationships xmlns="http://schemas.openxmlformats.org/package/2006/relationships">
  <Relationship Id="rId1" Type="http://schemas.openxmlformats.org/officeDocument/2006/relationships/image" Target="../media/image1.png"/>
</Relationships>

</file>

<file path=xl/drawings/_rels/drawing2.xml.rels><?xml version="1.0" encoding="UTF-8"?>

<Relationships xmlns="http://schemas.openxmlformats.org/package/2006/relationships">
  <Relationship Id="rId1" Type="http://schemas.openxmlformats.org/officeDocument/2006/relationships/image" Target="../media/image2.png"/>
  <Relationship Id="rId2" Type="http://schemas.openxmlformats.org/officeDocument/2006/relationships/image" Target="../media/image3.png"/>
</Relationships>

</file>

<file path=xl/drawings/_rels/drawing3.xml.rels><?xml version="1.0" encoding="UTF-8"?>

<Relationships xmlns="http://schemas.openxmlformats.org/package/2006/relationships">
  <Relationship Id="rId1" Type="http://schemas.openxmlformats.org/officeDocument/2006/relationships/image" Target="../media/image4.png"/>
</Relationships>

</file>

<file path=xl/drawings/drawing1.xml><?xml version="1.0" encoding="utf-8"?>
<xdr:wsDr xmlns:xdr="http://schemas.openxmlformats.org/drawingml/2006/spreadsheetDrawing" xmlns:a="http://schemas.openxmlformats.org/drawingml/2006/main">
  <xdr:twoCellAnchor editAs="oneCell">
    <xdr:from>
      <xdr:col>1</xdr:col>
      <xdr:colOff>47625</xdr:colOff>
      <xdr:row>0</xdr:row>
      <xdr:rowOff>38101</xdr:rowOff>
    </xdr:from>
    <xdr:to>
      <xdr:col>1</xdr:col>
      <xdr:colOff>2933700</xdr:colOff>
      <xdr:row>0</xdr:row>
      <xdr:rowOff>945153</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38101"/>
          <a:ext cx="2886075" cy="9070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9525</xdr:colOff>
      <xdr:row>0</xdr:row>
      <xdr:rowOff>0</xdr:rowOff>
    </xdr:from>
    <xdr:ext cx="2117510" cy="708558"/>
    <xdr:pic>
      <xdr:nvPicPr>
        <xdr:cNvPr id="2" name="Picture 1"/>
        <xdr:cNvPicPr>
          <a:picLocks noChangeAspect="1"/>
        </xdr:cNvPicPr>
      </xdr:nvPicPr>
      <xdr:blipFill>
        <a:blip xmlns:r="http://schemas.openxmlformats.org/officeDocument/2006/relationships" r:embed="rId1"/>
        <a:stretch>
          <a:fillRect/>
        </a:stretch>
      </xdr:blipFill>
      <xdr:spPr>
        <a:xfrm>
          <a:off x="114300" y="0"/>
          <a:ext cx="2117510" cy="708558"/>
        </a:xfrm>
        <a:prstGeom prst="rect">
          <a:avLst/>
        </a:prstGeom>
      </xdr:spPr>
    </xdr:pic>
    <xdr:clientData/>
  </xdr:oneCellAnchor>
  <xdr:twoCellAnchor editAs="oneCell">
    <xdr:from>
      <xdr:col>1</xdr:col>
      <xdr:colOff>0</xdr:colOff>
      <xdr:row>45</xdr:row>
      <xdr:rowOff>95250</xdr:rowOff>
    </xdr:from>
    <xdr:to>
      <xdr:col>2</xdr:col>
      <xdr:colOff>3415393</xdr:colOff>
      <xdr:row>47</xdr:row>
      <xdr:rowOff>63501</xdr:rowOff>
    </xdr:to>
    <xdr:pic>
      <xdr:nvPicPr>
        <xdr:cNvPr id="3" name="Picture 2"/>
        <xdr:cNvPicPr>
          <a:picLocks noChangeAspect="1"/>
        </xdr:cNvPicPr>
      </xdr:nvPicPr>
      <xdr:blipFill>
        <a:blip xmlns:r="http://schemas.openxmlformats.org/officeDocument/2006/relationships" r:embed="rId2"/>
        <a:stretch>
          <a:fillRect/>
        </a:stretch>
      </xdr:blipFill>
      <xdr:spPr>
        <a:xfrm>
          <a:off x="104775" y="18783300"/>
          <a:ext cx="5501368" cy="3683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xdr:col>
      <xdr:colOff>11907</xdr:colOff>
      <xdr:row>0</xdr:row>
      <xdr:rowOff>49169</xdr:rowOff>
    </xdr:from>
    <xdr:ext cx="1916905" cy="542444"/>
    <xdr:pic>
      <xdr:nvPicPr>
        <xdr:cNvPr id="2" name="Picture 1"/>
        <xdr:cNvPicPr>
          <a:picLocks noChangeAspect="1"/>
        </xdr:cNvPicPr>
      </xdr:nvPicPr>
      <xdr:blipFill>
        <a:blip xmlns:r="http://schemas.openxmlformats.org/officeDocument/2006/relationships" r:embed="rId1"/>
        <a:stretch>
          <a:fillRect/>
        </a:stretch>
      </xdr:blipFill>
      <xdr:spPr>
        <a:xfrm>
          <a:off x="269082" y="49169"/>
          <a:ext cx="1916905" cy="542444"/>
        </a:xfrm>
        <a:prstGeom prst="rect">
          <a:avLst/>
        </a:prstGeom>
      </xdr:spPr>
    </xdr:pic>
    <xdr:clientData/>
  </xdr:oneCellAnchor>
</xdr:wsDr>
</file>

<file path=xl/tables/table1.xml><?xml version="1.0" encoding="utf-8"?>
<table xmlns="http://schemas.openxmlformats.org/spreadsheetml/2006/main" id="1" name="t_Domain" displayName="t_Domain" ref="G2:G9" totalsRowShown="0" headerRowDxfId="20" dataDxfId="18" headerRowBorderDxfId="19" tableBorderDxfId="17" totalsRowBorderDxfId="16">
  <autoFilter ref="G2:G9"/>
  <sortState ref="G3:G8">
    <sortCondition ref="G3"/>
  </sortState>
  <tableColumns count="1">
    <tableColumn id="1" name="Domain" dataDxfId="15"/>
  </tableColumns>
  <tableStyleInfo name="TableStyleMedium9" showFirstColumn="0" showLastColumn="0" showRowStripes="1" showColumnStripes="0"/>
</table>
</file>

<file path=xl/tables/table2.xml><?xml version="1.0" encoding="utf-8"?>
<table xmlns="http://schemas.openxmlformats.org/spreadsheetml/2006/main" id="2" name="t_GradeWeight" displayName="t_GradeWeight" ref="I2:J7" totalsRowShown="0" headerRowDxfId="14" dataDxfId="12" headerRowBorderDxfId="13" tableBorderDxfId="11" totalsRowBorderDxfId="10">
  <autoFilter ref="I2:J7"/>
  <tableColumns count="2">
    <tableColumn id="1" name="Grade" dataDxfId="9"/>
    <tableColumn id="2" name="Weight" dataDxfId="8"/>
  </tableColumns>
  <tableStyleInfo name="TableStyleMedium9" showFirstColumn="0" showLastColumn="0" showRowStripes="1" showColumnStripes="0"/>
</table>
</file>

<file path=xl/tables/table3.xml><?xml version="1.0" encoding="utf-8"?>
<table xmlns="http://schemas.openxmlformats.org/spreadsheetml/2006/main" id="3" name="t_GradeRange" displayName="t_GradeRange" ref="A2:B6" totalsRowShown="0">
  <autoFilter ref="A2:B6"/>
  <tableColumns count="2">
    <tableColumn id="1" name="Range" dataDxfId="7"/>
    <tableColumn id="2" name="Grade" dataDxfId="6"/>
  </tableColumns>
  <tableStyleInfo name="TableStyleMedium9" showFirstColumn="0" showLastColumn="0" showRowStripes="1" showColumnStripes="0"/>
</table>
</file>

<file path=xl/tables/table4.xml><?xml version="1.0" encoding="utf-8"?>
<table xmlns="http://schemas.openxmlformats.org/spreadsheetml/2006/main" id="4" name="t_Topic" displayName="t_Topic" ref="L2:L10" totalsRowShown="0" headerRowDxfId="5" dataDxfId="3" headerRowBorderDxfId="4" tableBorderDxfId="2" totalsRowBorderDxfId="1">
  <autoFilter ref="L2:L10"/>
  <sortState ref="L3:L10">
    <sortCondition ref="L3"/>
  </sortState>
  <tableColumns count="1">
    <tableColumn id="1" name="Topic"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hyperlink" TargetMode="External" Target="http://dsxclientpgm/enovia/common/emxNavigator.jsp?objectId="/>
  <Relationship Id="rId10" Type="http://schemas.openxmlformats.org/officeDocument/2006/relationships/vmlDrawing" Target="../drawings/vmlDrawing1.vml"/>
  <Relationship Id="rId100"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01" Type="http://schemas.openxmlformats.org/officeDocument/2006/relationships/hyperlink" TargetMode="External" Target="https://dsxfinance.dsone.3ds.com/psc/FSPRD/EMPLOYEE/ERP/c/DSX_SERVICE_FORECAST_MGT.DSX_FC_BASELINE.GBL?BUSINESS_UNIT=00XXX&amp;PROJECT_ID=00000XXXXX&amp;PL_FORECAST_ID=&amp;"/>
  <Relationship Id="rId102" Type="http://schemas.openxmlformats.org/officeDocument/2006/relationships/hyperlink" TargetMode="External" Target="https://dsxfinance.dsone.3ds.com/psc/FSPRD/EMPLOYEE/ERP/c/DSX_SERVICE_FORECAST_MGT.DSX_FC_BASELINE.GBL?BUSINESS_UNIT=00XXX&amp;PROJECT_ID=00000XXXXX&amp;PL_FORECAST_ID=&amp;"/>
  <Relationship Id="rId103" Type="http://schemas.openxmlformats.org/officeDocument/2006/relationships/hyperlink" TargetMode="External" Target="http://dsxclientpgm/enovia/common/emxNavigator.jsp?objectId="/>
  <Relationship Id="rId104"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05"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06"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07"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08" Type="http://schemas.openxmlformats.org/officeDocument/2006/relationships/hyperlink" TargetMode="External" Target="https://dsxfinance.dsone.3ds.com/psc/FSPRD/EMPLOYEE/ERP/c/DSX_SERVICE_FORECAST_MGT.DSX_FC_BASELINE.GBL?BUSINESS_UNIT=00XXX&amp;PROJECT_ID=00000XXXXX&amp;PL_FORECAST_ID=&amp;"/>
  <Relationship Id="rId109" Type="http://schemas.openxmlformats.org/officeDocument/2006/relationships/hyperlink" TargetMode="External" Target="https://dsxfinance.dsone.3ds.com/psc/FSPRD/EMPLOYEE/ERP/c/DSX_SERVICE_FORECAST_MGT.DSX_FC_BASELINE.GBL?BUSINESS_UNIT=00XXX&amp;PROJECT_ID=00000XXXXX&amp;PL_FORECAST_ID=&amp;"/>
  <Relationship Id="rId11" Type="http://schemas.openxmlformats.org/officeDocument/2006/relationships/comments" Target="../comments1.xml"/>
  <Relationship Id="rId110" Type="http://schemas.openxmlformats.org/officeDocument/2006/relationships/hyperlink" TargetMode="External" Target="http://dsxclientpgm/enovia/common/emxNavigator.jsp?objectId="/>
  <Relationship Id="rId111"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12"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13"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14"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15" Type="http://schemas.openxmlformats.org/officeDocument/2006/relationships/hyperlink" TargetMode="External" Target="https://dsxfinance.dsone.3ds.com/psc/FSPRD/EMPLOYEE/ERP/c/DSX_SERVICE_FORECAST_MGT.DSX_FC_BASELINE.GBL?BUSINESS_UNIT=00XXX&amp;PROJECT_ID=00000XXXXX&amp;PL_FORECAST_ID=&amp;"/>
  <Relationship Id="rId116" Type="http://schemas.openxmlformats.org/officeDocument/2006/relationships/hyperlink" TargetMode="External" Target="https://dsxfinance.dsone.3ds.com/psc/FSPRD/EMPLOYEE/ERP/c/DSX_SERVICE_FORECAST_MGT.DSX_FC_BASELINE.GBL?BUSINESS_UNIT=00XXX&amp;PROJECT_ID=00000XXXXX&amp;PL_FORECAST_ID=&amp;"/>
  <Relationship Id="rId117" Type="http://schemas.openxmlformats.org/officeDocument/2006/relationships/hyperlink" TargetMode="External" Target="http://dsxclientpgm/enovia/common/emxNavigator.jsp?objectId="/>
  <Relationship Id="rId118"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19"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2" Type="http://schemas.openxmlformats.org/officeDocument/2006/relationships/hyperlink" TargetMode="External" Target="http://dsxclientpgm/enovia/common/emxNavigator.jsp?objectId="/>
  <Relationship Id="rId120"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21"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22" Type="http://schemas.openxmlformats.org/officeDocument/2006/relationships/hyperlink" TargetMode="External" Target="https://dsxfinance.dsone.3ds.com/psc/FSPRD/EMPLOYEE/ERP/c/DSX_SERVICE_FORECAST_MGT.DSX_FC_BASELINE.GBL?BUSINESS_UNIT=00XXX&amp;PROJECT_ID=00000XXXXX&amp;PL_FORECAST_ID=&amp;"/>
  <Relationship Id="rId123" Type="http://schemas.openxmlformats.org/officeDocument/2006/relationships/hyperlink" TargetMode="External" Target="https://dsxfinance.dsone.3ds.com/psc/FSPRD/EMPLOYEE/ERP/c/DSX_SERVICE_FORECAST_MGT.DSX_FC_BASELINE.GBL?BUSINESS_UNIT=00XXX&amp;PROJECT_ID=00000XXXXX&amp;PL_FORECAST_ID=&amp;"/>
  <Relationship Id="rId124" Type="http://schemas.openxmlformats.org/officeDocument/2006/relationships/hyperlink" TargetMode="External" Target="http://dsxclientpgm/enovia/common/emxNavigator.jsp?objectId="/>
  <Relationship Id="rId125"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26"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27"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28"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29" Type="http://schemas.openxmlformats.org/officeDocument/2006/relationships/hyperlink" TargetMode="External" Target="https://dsxfinance.dsone.3ds.com/psc/FSPRD/EMPLOYEE/ERP/c/DSX_SERVICE_FORECAST_MGT.DSX_FC_BASELINE.GBL?BUSINESS_UNIT=00XXX&amp;PROJECT_ID=00000XXXXX&amp;PL_FORECAST_ID=&amp;"/>
  <Relationship Id="rId13"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30" Type="http://schemas.openxmlformats.org/officeDocument/2006/relationships/hyperlink" TargetMode="External" Target="https://dsxfinance.dsone.3ds.com/psc/FSPRD/EMPLOYEE/ERP/c/DSX_SERVICE_FORECAST_MGT.DSX_FC_BASELINE.GBL?BUSINESS_UNIT=00XXX&amp;PROJECT_ID=00000XXXXX&amp;PL_FORECAST_ID=&amp;"/>
  <Relationship Id="rId131" Type="http://schemas.openxmlformats.org/officeDocument/2006/relationships/hyperlink" TargetMode="External" Target="http://dsxclientpgm/enovia/common/emxNavigator.jsp?objectId="/>
  <Relationship Id="rId132"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33"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34"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35"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36" Type="http://schemas.openxmlformats.org/officeDocument/2006/relationships/hyperlink" TargetMode="External" Target="https://dsxfinance.dsone.3ds.com/psc/FSPRD/EMPLOYEE/ERP/c/DSX_SERVICE_FORECAST_MGT.DSX_FC_BASELINE.GBL?BUSINESS_UNIT=00XXX&amp;PROJECT_ID=00000XXXXX&amp;PL_FORECAST_ID=&amp;"/>
  <Relationship Id="rId137" Type="http://schemas.openxmlformats.org/officeDocument/2006/relationships/hyperlink" TargetMode="External" Target="https://dsxfinance.dsone.3ds.com/psc/FSPRD/EMPLOYEE/ERP/c/DSX_SERVICE_FORECAST_MGT.DSX_FC_BASELINE.GBL?BUSINESS_UNIT=00XXX&amp;PROJECT_ID=00000XXXXX&amp;PL_FORECAST_ID=&amp;"/>
  <Relationship Id="rId138" Type="http://schemas.openxmlformats.org/officeDocument/2006/relationships/hyperlink" TargetMode="External" Target="http://dsxclientpgm/enovia/common/emxNavigator.jsp?objectId="/>
  <Relationship Id="rId139"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4"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40"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41"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42"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43" Type="http://schemas.openxmlformats.org/officeDocument/2006/relationships/hyperlink" TargetMode="External" Target="https://dsxfinance.dsone.3ds.com/psc/FSPRD/EMPLOYEE/ERP/c/DSX_SERVICE_FORECAST_MGT.DSX_FC_BASELINE.GBL?BUSINESS_UNIT=00XXX&amp;PROJECT_ID=00000XXXXX&amp;PL_FORECAST_ID=&amp;"/>
  <Relationship Id="rId144" Type="http://schemas.openxmlformats.org/officeDocument/2006/relationships/hyperlink" TargetMode="External" Target="https://dsxfinance.dsone.3ds.com/psc/FSPRD/EMPLOYEE/ERP/c/DSX_SERVICE_FORECAST_MGT.DSX_FC_BASELINE.GBL?BUSINESS_UNIT=00XXX&amp;PROJECT_ID=00000XXXXX&amp;PL_FORECAST_ID=&amp;"/>
  <Relationship Id="rId145" Type="http://schemas.openxmlformats.org/officeDocument/2006/relationships/hyperlink" TargetMode="External" Target="http://dsxclientpgm/enovia/common/emxNavigator.jsp?objectId="/>
  <Relationship Id="rId146"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47"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48"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49"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5"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50" Type="http://schemas.openxmlformats.org/officeDocument/2006/relationships/hyperlink" TargetMode="External" Target="https://dsxfinance.dsone.3ds.com/psc/FSPRD/EMPLOYEE/ERP/c/DSX_SERVICE_FORECAST_MGT.DSX_FC_BASELINE.GBL?BUSINESS_UNIT=00XXX&amp;PROJECT_ID=00000XXXXX&amp;PL_FORECAST_ID=&amp;"/>
  <Relationship Id="rId151" Type="http://schemas.openxmlformats.org/officeDocument/2006/relationships/hyperlink" TargetMode="External" Target="https://dsxfinance.dsone.3ds.com/psc/FSPRD/EMPLOYEE/ERP/c/DSX_SERVICE_FORECAST_MGT.DSX_FC_BASELINE.GBL?BUSINESS_UNIT=00XXX&amp;PROJECT_ID=00000XXXXX&amp;PL_FORECAST_ID=&amp;"/>
  <Relationship Id="rId152" Type="http://schemas.openxmlformats.org/officeDocument/2006/relationships/hyperlink" TargetMode="External" Target="http://dsxclientpgm/enovia/common/emxNavigator.jsp?objectId="/>
  <Relationship Id="rId153"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54"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55"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56"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57" Type="http://schemas.openxmlformats.org/officeDocument/2006/relationships/hyperlink" TargetMode="External" Target="https://dsxfinance.dsone.3ds.com/psc/FSPRD/EMPLOYEE/ERP/c/DSX_SERVICE_FORECAST_MGT.DSX_FC_BASELINE.GBL?BUSINESS_UNIT=00XXX&amp;PROJECT_ID=00000XXXXX&amp;PL_FORECAST_ID=&amp;"/>
  <Relationship Id="rId158" Type="http://schemas.openxmlformats.org/officeDocument/2006/relationships/hyperlink" TargetMode="External" Target="https://dsxfinance.dsone.3ds.com/psc/FSPRD/EMPLOYEE/ERP/c/DSX_SERVICE_FORECAST_MGT.DSX_FC_BASELINE.GBL?BUSINESS_UNIT=00XXX&amp;PROJECT_ID=00000XXXXX&amp;PL_FORECAST_ID=&amp;"/>
  <Relationship Id="rId159" Type="http://schemas.openxmlformats.org/officeDocument/2006/relationships/hyperlink" TargetMode="External" Target="http://dsxclientpgm/enovia/common/emxNavigator.jsp?objectId="/>
  <Relationship Id="rId16"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60"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61"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62"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63"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64" Type="http://schemas.openxmlformats.org/officeDocument/2006/relationships/hyperlink" TargetMode="External" Target="https://dsxfinance.dsone.3ds.com/psc/FSPRD/EMPLOYEE/ERP/c/DSX_SERVICE_FORECAST_MGT.DSX_FC_BASELINE.GBL?BUSINESS_UNIT=00XXX&amp;PROJECT_ID=00000XXXXX&amp;PL_FORECAST_ID=&amp;"/>
  <Relationship Id="rId165" Type="http://schemas.openxmlformats.org/officeDocument/2006/relationships/hyperlink" TargetMode="External" Target="https://dsxfinance.dsone.3ds.com/psc/FSPRD/EMPLOYEE/ERP/c/DSX_SERVICE_FORECAST_MGT.DSX_FC_BASELINE.GBL?BUSINESS_UNIT=00XXX&amp;PROJECT_ID=00000XXXXX&amp;PL_FORECAST_ID=&amp;"/>
  <Relationship Id="rId166" Type="http://schemas.openxmlformats.org/officeDocument/2006/relationships/hyperlink" TargetMode="External" Target="http://dsxclientpgm/enovia/common/emxNavigator.jsp?objectId="/>
  <Relationship Id="rId167"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68"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69"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7" Type="http://schemas.openxmlformats.org/officeDocument/2006/relationships/hyperlink" TargetMode="External" Target="https://dsxfinance.dsone.3ds.com/psc/FSPRD/EMPLOYEE/ERP/c/DSX_SERVICE_FORECAST_MGT.DSX_FC_BASELINE.GBL?BUSINESS_UNIT=00XXX&amp;PROJECT_ID=00000XXXXX&amp;PL_FORECAST_ID=&amp;"/>
  <Relationship Id="rId170"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71" Type="http://schemas.openxmlformats.org/officeDocument/2006/relationships/hyperlink" TargetMode="External" Target="https://dsxfinance.dsone.3ds.com/psc/FSPRD/EMPLOYEE/ERP/c/DSX_SERVICE_FORECAST_MGT.DSX_FC_BASELINE.GBL?BUSINESS_UNIT=00XXX&amp;PROJECT_ID=00000XXXXX&amp;PL_FORECAST_ID=&amp;"/>
  <Relationship Id="rId172" Type="http://schemas.openxmlformats.org/officeDocument/2006/relationships/hyperlink" TargetMode="External" Target="https://dsxfinance.dsone.3ds.com/psc/FSPRD/EMPLOYEE/ERP/c/DSX_SERVICE_FORECAST_MGT.DSX_FC_BASELINE.GBL?BUSINESS_UNIT=00XXX&amp;PROJECT_ID=00000XXXXX&amp;PL_FORECAST_ID=&amp;"/>
  <Relationship Id="rId173" Type="http://schemas.openxmlformats.org/officeDocument/2006/relationships/hyperlink" TargetMode="External" Target="http://dsxclientpgm/enovia/common/emxNavigator.jsp?objectId="/>
  <Relationship Id="rId174"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75"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76"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77"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78" Type="http://schemas.openxmlformats.org/officeDocument/2006/relationships/hyperlink" TargetMode="External" Target="https://dsxfinance.dsone.3ds.com/psc/FSPRD/EMPLOYEE/ERP/c/DSX_SERVICE_FORECAST_MGT.DSX_FC_BASELINE.GBL?BUSINESS_UNIT=00XXX&amp;PROJECT_ID=00000XXXXX&amp;PL_FORECAST_ID=&amp;"/>
  <Relationship Id="rId179" Type="http://schemas.openxmlformats.org/officeDocument/2006/relationships/hyperlink" TargetMode="External" Target="https://dsxfinance.dsone.3ds.com/psc/FSPRD/EMPLOYEE/ERP/c/DSX_SERVICE_FORECAST_MGT.DSX_FC_BASELINE.GBL?BUSINESS_UNIT=00XXX&amp;PROJECT_ID=00000XXXXX&amp;PL_FORECAST_ID=&amp;"/>
  <Relationship Id="rId18" Type="http://schemas.openxmlformats.org/officeDocument/2006/relationships/hyperlink" TargetMode="External" Target="https://dsxfinance.dsone.3ds.com/psc/FSPRD/EMPLOYEE/ERP/c/DSX_SERVICE_FORECAST_MGT.DSX_FC_BASELINE.GBL?BUSINESS_UNIT=00XXX&amp;PROJECT_ID=00000XXXXX&amp;PL_FORECAST_ID=&amp;"/>
  <Relationship Id="rId180" Type="http://schemas.openxmlformats.org/officeDocument/2006/relationships/hyperlink" TargetMode="External" Target="http://dsxclientpgm/enovia/common/emxNavigator.jsp?objectId="/>
  <Relationship Id="rId181"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82"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83"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84"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85" Type="http://schemas.openxmlformats.org/officeDocument/2006/relationships/hyperlink" TargetMode="External" Target="https://dsxfinance.dsone.3ds.com/psc/FSPRD/EMPLOYEE/ERP/c/DSX_SERVICE_FORECAST_MGT.DSX_FC_BASELINE.GBL?BUSINESS_UNIT=00XXX&amp;PROJECT_ID=00000XXXXX&amp;PL_FORECAST_ID=&amp;"/>
  <Relationship Id="rId186" Type="http://schemas.openxmlformats.org/officeDocument/2006/relationships/hyperlink" TargetMode="External" Target="https://dsxfinance.dsone.3ds.com/psc/FSPRD/EMPLOYEE/ERP/c/DSX_SERVICE_FORECAST_MGT.DSX_FC_BASELINE.GBL?BUSINESS_UNIT=00XXX&amp;PROJECT_ID=00000XXXXX&amp;PL_FORECAST_ID=&amp;"/>
  <Relationship Id="rId187" Type="http://schemas.openxmlformats.org/officeDocument/2006/relationships/hyperlink" TargetMode="External" Target="http://dsxclientpgm/enovia/common/emxNavigator.jsp?objectId="/>
  <Relationship Id="rId188"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89"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9" Type="http://schemas.openxmlformats.org/officeDocument/2006/relationships/hyperlink" TargetMode="External" Target="http://dsxclientpgm/enovia/common/emxNavigator.jsp?objectId="/>
  <Relationship Id="rId190"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91"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92" Type="http://schemas.openxmlformats.org/officeDocument/2006/relationships/hyperlink" TargetMode="External" Target="https://dsxfinance.dsone.3ds.com/psc/FSPRD/EMPLOYEE/ERP/c/DSX_SERVICE_FORECAST_MGT.DSX_FC_BASELINE.GBL?BUSINESS_UNIT=00XXX&amp;PROJECT_ID=00000XXXXX&amp;PL_FORECAST_ID=&amp;"/>
  <Relationship Id="rId193" Type="http://schemas.openxmlformats.org/officeDocument/2006/relationships/hyperlink" TargetMode="External" Target="https://dsxfinance.dsone.3ds.com/psc/FSPRD/EMPLOYEE/ERP/c/DSX_SERVICE_FORECAST_MGT.DSX_FC_BASELINE.GBL?BUSINESS_UNIT=00XXX&amp;PROJECT_ID=00000XXXXX&amp;PL_FORECAST_ID=&amp;"/>
  <Relationship Id="rId194" Type="http://schemas.openxmlformats.org/officeDocument/2006/relationships/hyperlink" TargetMode="External" Target="http://dsxclientpgm/enovia/common/emxNavigator.jsp?objectId="/>
  <Relationship Id="rId195"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96"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197"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98"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99" Type="http://schemas.openxmlformats.org/officeDocument/2006/relationships/hyperlink" TargetMode="External" Target="https://dsxfinance.dsone.3ds.com/psc/FSPRD/EMPLOYEE/ERP/c/DSX_SERVICE_FORECAST_MGT.DSX_FC_BASELINE.GBL?BUSINESS_UNIT=00XXX&amp;PROJECT_ID=00000XXXXX&amp;PL_FORECAST_ID=&amp;"/>
  <Relationship Id="rId2"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20"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200" Type="http://schemas.openxmlformats.org/officeDocument/2006/relationships/hyperlink" TargetMode="External" Target="https://dsxfinance.dsone.3ds.com/psc/FSPRD/EMPLOYEE/ERP/c/DSX_SERVICE_FORECAST_MGT.DSX_FC_BASELINE.GBL?BUSINESS_UNIT=00XXX&amp;PROJECT_ID=00000XXXXX&amp;PL_FORECAST_ID=&amp;"/>
  <Relationship Id="rId201" Type="http://schemas.openxmlformats.org/officeDocument/2006/relationships/hyperlink" TargetMode="External" Target="http://dsxclientpgm/enovia/common/emxNavigator.jsp?objectId="/>
  <Relationship Id="rId202"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203"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204"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205"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206" Type="http://schemas.openxmlformats.org/officeDocument/2006/relationships/hyperlink" TargetMode="External" Target="https://dsxfinance.dsone.3ds.com/psc/FSPRD/EMPLOYEE/ERP/c/DSX_SERVICE_FORECAST_MGT.DSX_FC_BASELINE.GBL?BUSINESS_UNIT=00XXX&amp;PROJECT_ID=00000XXXXX&amp;PL_FORECAST_ID=&amp;"/>
  <Relationship Id="rId207" Type="http://schemas.openxmlformats.org/officeDocument/2006/relationships/hyperlink" TargetMode="External" Target="https://dsxfinance.dsone.3ds.com/psc/FSPRD/EMPLOYEE/ERP/c/DSX_SERVICE_FORECAST_MGT.DSX_FC_BASELINE.GBL?BUSINESS_UNIT=00XXX&amp;PROJECT_ID=00000XXXXX&amp;PL_FORECAST_ID=&amp;"/>
  <Relationship Id="rId208" Type="http://schemas.openxmlformats.org/officeDocument/2006/relationships/hyperlink" TargetMode="External" Target="http://dsxclientpgm/enovia/common/emxNavigator.jsp?objectId="/>
  <Relationship Id="rId209"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21"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210"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211"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212"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213" Type="http://schemas.openxmlformats.org/officeDocument/2006/relationships/hyperlink" TargetMode="External" Target="https://dsxfinance.dsone.3ds.com/psc/FSPRD/EMPLOYEE/ERP/c/DSX_SERVICE_FORECAST_MGT.DSX_FC_BASELINE.GBL?BUSINESS_UNIT=00XXX&amp;PROJECT_ID=00000XXXXX&amp;PL_FORECAST_ID=&amp;"/>
  <Relationship Id="rId214" Type="http://schemas.openxmlformats.org/officeDocument/2006/relationships/hyperlink" TargetMode="External" Target="https://dsxfinance.dsone.3ds.com/psc/FSPRD/EMPLOYEE/ERP/c/DSX_SERVICE_FORECAST_MGT.DSX_FC_BASELINE.GBL?BUSINESS_UNIT=00XXX&amp;PROJECT_ID=00000XXXXX&amp;PL_FORECAST_ID=&amp;"/>
  <Relationship Id="rId215" Type="http://schemas.openxmlformats.org/officeDocument/2006/relationships/hyperlink" TargetMode="External" Target="http://dsxclientpgm/enovia/common/emxNavigator.jsp?objectId="/>
  <Relationship Id="rId216"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217"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218"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219"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22"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220" Type="http://schemas.openxmlformats.org/officeDocument/2006/relationships/hyperlink" TargetMode="External" Target="https://dsxfinance.dsone.3ds.com/psc/FSPRD/EMPLOYEE/ERP/c/DSX_SERVICE_FORECAST_MGT.DSX_FC_BASELINE.GBL?BUSINESS_UNIT=00XXX&amp;PROJECT_ID=00000XXXXX&amp;PL_FORECAST_ID=&amp;"/>
  <Relationship Id="rId221" Type="http://schemas.openxmlformats.org/officeDocument/2006/relationships/hyperlink" TargetMode="External" Target="https://dsxfinance.dsone.3ds.com/psc/FSPRD/EMPLOYEE/ERP/c/DSX_SERVICE_FORECAST_MGT.DSX_FC_BASELINE.GBL?BUSINESS_UNIT=00XXX&amp;PROJECT_ID=00000XXXXX&amp;PL_FORECAST_ID=&amp;"/>
  <Relationship Id="rId23"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24" Type="http://schemas.openxmlformats.org/officeDocument/2006/relationships/hyperlink" TargetMode="External" Target="https://dsxfinance.dsone.3ds.com/psc/FSPRD/EMPLOYEE/ERP/c/DSX_SERVICE_FORECAST_MGT.DSX_FC_BASELINE.GBL?BUSINESS_UNIT=00XXX&amp;PROJECT_ID=00000XXXXX&amp;PL_FORECAST_ID=&amp;"/>
  <Relationship Id="rId25" Type="http://schemas.openxmlformats.org/officeDocument/2006/relationships/hyperlink" TargetMode="External" Target="https://dsxfinance.dsone.3ds.com/psc/FSPRD/EMPLOYEE/ERP/c/DSX_SERVICE_FORECAST_MGT.DSX_FC_BASELINE.GBL?BUSINESS_UNIT=00XXX&amp;PROJECT_ID=00000XXXXX&amp;PL_FORECAST_ID=&amp;"/>
  <Relationship Id="rId26" Type="http://schemas.openxmlformats.org/officeDocument/2006/relationships/hyperlink" TargetMode="External" Target="http://dsxclientpgm/enovia/common/emxNavigator.jsp?objectId="/>
  <Relationship Id="rId27"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28"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29"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3"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30"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31" Type="http://schemas.openxmlformats.org/officeDocument/2006/relationships/hyperlink" TargetMode="External" Target="https://dsxfinance.dsone.3ds.com/psc/FSPRD/EMPLOYEE/ERP/c/DSX_SERVICE_FORECAST_MGT.DSX_FC_BASELINE.GBL?BUSINESS_UNIT=00XXX&amp;PROJECT_ID=00000XXXXX&amp;PL_FORECAST_ID=&amp;"/>
  <Relationship Id="rId32" Type="http://schemas.openxmlformats.org/officeDocument/2006/relationships/hyperlink" TargetMode="External" Target="https://dsxfinance.dsone.3ds.com/psc/FSPRD/EMPLOYEE/ERP/c/DSX_SERVICE_FORECAST_MGT.DSX_FC_BASELINE.GBL?BUSINESS_UNIT=00XXX&amp;PROJECT_ID=00000XXXXX&amp;PL_FORECAST_ID=&amp;"/>
  <Relationship Id="rId33" Type="http://schemas.openxmlformats.org/officeDocument/2006/relationships/hyperlink" TargetMode="External" Target="http://dsxclientpgm/enovia/common/emxNavigator.jsp?objectId="/>
  <Relationship Id="rId34"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35"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36"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37"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38" Type="http://schemas.openxmlformats.org/officeDocument/2006/relationships/hyperlink" TargetMode="External" Target="https://dsxfinance.dsone.3ds.com/psc/FSPRD/EMPLOYEE/ERP/c/DSX_SERVICE_FORECAST_MGT.DSX_FC_BASELINE.GBL?BUSINESS_UNIT=00XXX&amp;PROJECT_ID=00000XXXXX&amp;PL_FORECAST_ID=&amp;"/>
  <Relationship Id="rId39" Type="http://schemas.openxmlformats.org/officeDocument/2006/relationships/hyperlink" TargetMode="External" Target="https://dsxfinance.dsone.3ds.com/psc/FSPRD/EMPLOYEE/ERP/c/DSX_SERVICE_FORECAST_MGT.DSX_FC_BASELINE.GBL?BUSINESS_UNIT=00XXX&amp;PROJECT_ID=00000XXXXX&amp;PL_FORECAST_ID=&amp;"/>
  <Relationship Id="rId4"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40" Type="http://schemas.openxmlformats.org/officeDocument/2006/relationships/hyperlink" TargetMode="External" Target="http://dsxclientpgm/enovia/common/emxNavigator.jsp?objectId="/>
  <Relationship Id="rId41"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42"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43"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44"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45" Type="http://schemas.openxmlformats.org/officeDocument/2006/relationships/hyperlink" TargetMode="External" Target="https://dsxfinance.dsone.3ds.com/psc/FSPRD/EMPLOYEE/ERP/c/DSX_SERVICE_FORECAST_MGT.DSX_FC_BASELINE.GBL?BUSINESS_UNIT=00XXX&amp;PROJECT_ID=00000XXXXX&amp;PL_FORECAST_ID=&amp;"/>
  <Relationship Id="rId46" Type="http://schemas.openxmlformats.org/officeDocument/2006/relationships/hyperlink" TargetMode="External" Target="https://dsxfinance.dsone.3ds.com/psc/FSPRD/EMPLOYEE/ERP/c/DSX_SERVICE_FORECAST_MGT.DSX_FC_BASELINE.GBL?BUSINESS_UNIT=00XXX&amp;PROJECT_ID=00000XXXXX&amp;PL_FORECAST_ID=&amp;"/>
  <Relationship Id="rId47" Type="http://schemas.openxmlformats.org/officeDocument/2006/relationships/hyperlink" TargetMode="External" Target="http://dsxclientpgm/enovia/common/emxNavigator.jsp?objectId="/>
  <Relationship Id="rId48"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49"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5"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50"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51"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52" Type="http://schemas.openxmlformats.org/officeDocument/2006/relationships/hyperlink" TargetMode="External" Target="https://dsxfinance.dsone.3ds.com/psc/FSPRD/EMPLOYEE/ERP/c/DSX_SERVICE_FORECAST_MGT.DSX_FC_BASELINE.GBL?BUSINESS_UNIT=00XXX&amp;PROJECT_ID=00000XXXXX&amp;PL_FORECAST_ID=&amp;"/>
  <Relationship Id="rId53" Type="http://schemas.openxmlformats.org/officeDocument/2006/relationships/hyperlink" TargetMode="External" Target="https://dsxfinance.dsone.3ds.com/psc/FSPRD/EMPLOYEE/ERP/c/DSX_SERVICE_FORECAST_MGT.DSX_FC_BASELINE.GBL?BUSINESS_UNIT=00XXX&amp;PROJECT_ID=00000XXXXX&amp;PL_FORECAST_ID=&amp;"/>
  <Relationship Id="rId54" Type="http://schemas.openxmlformats.org/officeDocument/2006/relationships/hyperlink" TargetMode="External" Target="http://dsxclientpgm/enovia/common/emxNavigator.jsp?objectId="/>
  <Relationship Id="rId55"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56"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57"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58"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59" Type="http://schemas.openxmlformats.org/officeDocument/2006/relationships/hyperlink" TargetMode="External" Target="https://dsxfinance.dsone.3ds.com/psc/FSPRD/EMPLOYEE/ERP/c/DSX_SERVICE_FORECAST_MGT.DSX_FC_BASELINE.GBL?BUSINESS_UNIT=00XXX&amp;PROJECT_ID=00000XXXXX&amp;PL_FORECAST_ID=&amp;"/>
  <Relationship Id="rId6" Type="http://schemas.openxmlformats.org/officeDocument/2006/relationships/hyperlink" TargetMode="External" Target="https://dsxfinance.dsone.3ds.com/psc/FSPRD/EMPLOYEE/ERP/c/DSX_SERVICE_FORECAST_MGT.DSX_FC_BASELINE.GBL?BUSINESS_UNIT=00XXX&amp;PROJECT_ID=00000XXXXX&amp;PL_FORECAST_ID=&amp;"/>
  <Relationship Id="rId60" Type="http://schemas.openxmlformats.org/officeDocument/2006/relationships/hyperlink" TargetMode="External" Target="https://dsxfinance.dsone.3ds.com/psc/FSPRD/EMPLOYEE/ERP/c/DSX_SERVICE_FORECAST_MGT.DSX_FC_BASELINE.GBL?BUSINESS_UNIT=00XXX&amp;PROJECT_ID=00000XXXXX&amp;PL_FORECAST_ID=&amp;"/>
  <Relationship Id="rId61" Type="http://schemas.openxmlformats.org/officeDocument/2006/relationships/hyperlink" TargetMode="External" Target="http://dsxclientpgm/enovia/common/emxNavigator.jsp?objectId="/>
  <Relationship Id="rId62"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63"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64"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65"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66" Type="http://schemas.openxmlformats.org/officeDocument/2006/relationships/hyperlink" TargetMode="External" Target="https://dsxfinance.dsone.3ds.com/psc/FSPRD/EMPLOYEE/ERP/c/DSX_SERVICE_FORECAST_MGT.DSX_FC_BASELINE.GBL?BUSINESS_UNIT=00XXX&amp;PROJECT_ID=00000XXXXX&amp;PL_FORECAST_ID=&amp;"/>
  <Relationship Id="rId67" Type="http://schemas.openxmlformats.org/officeDocument/2006/relationships/hyperlink" TargetMode="External" Target="https://dsxfinance.dsone.3ds.com/psc/FSPRD/EMPLOYEE/ERP/c/DSX_SERVICE_FORECAST_MGT.DSX_FC_BASELINE.GBL?BUSINESS_UNIT=00XXX&amp;PROJECT_ID=00000XXXXX&amp;PL_FORECAST_ID=&amp;"/>
  <Relationship Id="rId68" Type="http://schemas.openxmlformats.org/officeDocument/2006/relationships/hyperlink" TargetMode="External" Target="http://dsxclientpgm/enovia/common/emxNavigator.jsp?objectId="/>
  <Relationship Id="rId69"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7" Type="http://schemas.openxmlformats.org/officeDocument/2006/relationships/hyperlink" TargetMode="External" Target="https://dsxfinance.dsone.3ds.com/psc/FSPRD/EMPLOYEE/ERP/c/DSX_SERVICE_FORECAST_MGT.DSX_FC_BASELINE.GBL?BUSINESS_UNIT=00XXX&amp;PROJECT_ID=00000XXXXX&amp;PL_FORECAST_ID=&amp;"/>
  <Relationship Id="rId70"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71"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72"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73" Type="http://schemas.openxmlformats.org/officeDocument/2006/relationships/hyperlink" TargetMode="External" Target="https://dsxfinance.dsone.3ds.com/psc/FSPRD/EMPLOYEE/ERP/c/DSX_SERVICE_FORECAST_MGT.DSX_FC_BASELINE.GBL?BUSINESS_UNIT=00XXX&amp;PROJECT_ID=00000XXXXX&amp;PL_FORECAST_ID=&amp;"/>
  <Relationship Id="rId74" Type="http://schemas.openxmlformats.org/officeDocument/2006/relationships/hyperlink" TargetMode="External" Target="https://dsxfinance.dsone.3ds.com/psc/FSPRD/EMPLOYEE/ERP/c/DSX_SERVICE_FORECAST_MGT.DSX_FC_BASELINE.GBL?BUSINESS_UNIT=00XXX&amp;PROJECT_ID=00000XXXXX&amp;PL_FORECAST_ID=&amp;"/>
  <Relationship Id="rId75" Type="http://schemas.openxmlformats.org/officeDocument/2006/relationships/hyperlink" TargetMode="External" Target="http://dsxclientpgm/enovia/common/emxNavigator.jsp?objectId="/>
  <Relationship Id="rId76"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77"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78"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79"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8" Type="http://schemas.openxmlformats.org/officeDocument/2006/relationships/printerSettings" Target="../printerSettings/printerSettings1.bin"/>
  <Relationship Id="rId80" Type="http://schemas.openxmlformats.org/officeDocument/2006/relationships/hyperlink" TargetMode="External" Target="https://dsxfinance.dsone.3ds.com/psc/FSPRD/EMPLOYEE/ERP/c/DSX_SERVICE_FORECAST_MGT.DSX_FC_BASELINE.GBL?BUSINESS_UNIT=00XXX&amp;PROJECT_ID=00000XXXXX&amp;PL_FORECAST_ID=&amp;"/>
  <Relationship Id="rId81" Type="http://schemas.openxmlformats.org/officeDocument/2006/relationships/hyperlink" TargetMode="External" Target="https://dsxfinance.dsone.3ds.com/psc/FSPRD/EMPLOYEE/ERP/c/DSX_SERVICE_FORECAST_MGT.DSX_FC_BASELINE.GBL?BUSINESS_UNIT=00XXX&amp;PROJECT_ID=00000XXXXX&amp;PL_FORECAST_ID=&amp;"/>
  <Relationship Id="rId82" Type="http://schemas.openxmlformats.org/officeDocument/2006/relationships/hyperlink" TargetMode="External" Target="http://dsxclientpgm/enovia/common/emxNavigator.jsp?objectId="/>
  <Relationship Id="rId83"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84"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85"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86"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87" Type="http://schemas.openxmlformats.org/officeDocument/2006/relationships/hyperlink" TargetMode="External" Target="https://dsxfinance.dsone.3ds.com/psc/FSPRD/EMPLOYEE/ERP/c/DSX_SERVICE_FORECAST_MGT.DSX_FC_BASELINE.GBL?BUSINESS_UNIT=00XXX&amp;PROJECT_ID=00000XXXXX&amp;PL_FORECAST_ID=&amp;"/>
  <Relationship Id="rId88" Type="http://schemas.openxmlformats.org/officeDocument/2006/relationships/hyperlink" TargetMode="External" Target="https://dsxfinance.dsone.3ds.com/psc/FSPRD/EMPLOYEE/ERP/c/DSX_SERVICE_FORECAST_MGT.DSX_FC_BASELINE.GBL?BUSINESS_UNIT=00XXX&amp;PROJECT_ID=00000XXXXX&amp;PL_FORECAST_ID=&amp;"/>
  <Relationship Id="rId89" Type="http://schemas.openxmlformats.org/officeDocument/2006/relationships/hyperlink" TargetMode="External" Target="http://dsxclientpgm/enovia/common/emxNavigator.jsp?objectId="/>
  <Relationship Id="rId9" Type="http://schemas.openxmlformats.org/officeDocument/2006/relationships/drawing" Target="../drawings/drawing1.xml"/>
  <Relationship Id="rId90"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91"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92"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93"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94" Type="http://schemas.openxmlformats.org/officeDocument/2006/relationships/hyperlink" TargetMode="External" Target="https://dsxfinance.dsone.3ds.com/psc/FSPRD/EMPLOYEE/ERP/c/DSX_SERVICE_FORECAST_MGT.DSX_FC_BASELINE.GBL?BUSINESS_UNIT=00XXX&amp;PROJECT_ID=00000XXXXX&amp;PL_FORECAST_ID=&amp;"/>
  <Relationship Id="rId95" Type="http://schemas.openxmlformats.org/officeDocument/2006/relationships/hyperlink" TargetMode="External" Target="https://dsxfinance.dsone.3ds.com/psc/FSPRD/EMPLOYEE/ERP/c/DSX_SERVICE_FORECAST_MGT.DSX_FC_BASELINE.GBL?BUSINESS_UNIT=00XXX&amp;PROJECT_ID=00000XXXXX&amp;PL_FORECAST_ID=&amp;"/>
  <Relationship Id="rId96" Type="http://schemas.openxmlformats.org/officeDocument/2006/relationships/hyperlink" TargetMode="External" Target="http://dsxclientpgm/enovia/common/emxNavigator.jsp?objectId="/>
  <Relationship Id="rId97"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98" Type="http://schemas.openxmlformats.org/officeDocument/2006/relationships/hyperlink" TargetMode="External" Target="https://dsxfinance.dsone.3ds.com/psp/FSPRD/EMPLOYEE/ERP/c/GM_PROPOSAL_MGT.GM_OPPTY_HDR.GBL?Page=GM_OPPTY_HDR&amp;Action=U&amp;BUSINESS_UNIT=00XXX&amp;PROPOSAL_ID=XXXXXXXXXXXXXX&amp;VERSION_ID=V101"/>
  <Relationship Id="rId99"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s>

</file>

<file path=xl/worksheets/_rels/sheet2.xml.rels><?xml version="1.0" encoding="UTF-8"?>

<Relationships xmlns="http://schemas.openxmlformats.org/package/2006/relationships">
  <Relationship Id="rId1" Type="http://schemas.openxmlformats.org/officeDocument/2006/relationships/hyperlink" TargetMode="External" Target="http://dsxclientpgm/enovia/common/emxNavigator.jsp?objectId=524.60425.38148.50543"/>
  <Relationship Id="rId10" Type="http://schemas.openxmlformats.org/officeDocument/2006/relationships/hyperlink" TargetMode="External" Target="http://dsxclientpgm/enovia/common/emxNavigator.jsp?objectId=524.60425.38148.50543"/>
  <Relationship Id="rId11" Type="http://schemas.openxmlformats.org/officeDocument/2006/relationships/hyperlink" TargetMode="External" Target="http://dsxclientpgm/enovia/common/emxNavigator.jsp?objectId=524.60425.38148.50543"/>
  <Relationship Id="rId12" Type="http://schemas.openxmlformats.org/officeDocument/2006/relationships/hyperlink" TargetMode="External" Target="http://dsxclientpgm/enovia/common/emxNavigator.jsp?objectId=524.60425.38148.50543"/>
  <Relationship Id="rId13" Type="http://schemas.openxmlformats.org/officeDocument/2006/relationships/hyperlink" TargetMode="External" Target="http://dsxclientpgm/enovia/common/emxNavigator.jsp?objectId=524.60425.38148.50543"/>
  <Relationship Id="rId14" Type="http://schemas.openxmlformats.org/officeDocument/2006/relationships/hyperlink" TargetMode="External" Target="http://dsxclientpgm/enovia/common/emxNavigator.jsp?objectId=524.60425.38148.50543"/>
  <Relationship Id="rId15" Type="http://schemas.openxmlformats.org/officeDocument/2006/relationships/hyperlink" TargetMode="External" Target="http://dsxclientpgm/enovia/common/emxNavigator.jsp?objectId=524.60425.38148.50543"/>
  <Relationship Id="rId16" Type="http://schemas.openxmlformats.org/officeDocument/2006/relationships/hyperlink" TargetMode="External" Target="http://dsxclientpgm/enovia/common/emxNavigator.jsp?objectId=524.60425.38148.50543"/>
  <Relationship Id="rId17" Type="http://schemas.openxmlformats.org/officeDocument/2006/relationships/hyperlink" TargetMode="External" Target="http://dsxclientpgm/enovia/common/emxNavigator.jsp?objectId=524.60425.38148.50543"/>
  <Relationship Id="rId18" Type="http://schemas.openxmlformats.org/officeDocument/2006/relationships/hyperlink" TargetMode="External" Target="http://dsxclientpgm/enovia/common/emxNavigator.jsp?objectId=524.60425.38148.50543"/>
  <Relationship Id="rId19" Type="http://schemas.openxmlformats.org/officeDocument/2006/relationships/hyperlink" TargetMode="External" Target="http://dsxclientpgm/enovia/common/emxNavigator.jsp?objectId=524.60425.38148.50543"/>
  <Relationship Id="rId2" Type="http://schemas.openxmlformats.org/officeDocument/2006/relationships/hyperlink" TargetMode="External" Target="http://dsxclientpgm/enovia/common/emxNavigator.jsp?objectId=524.60425.38148.50543"/>
  <Relationship Id="rId20" Type="http://schemas.openxmlformats.org/officeDocument/2006/relationships/hyperlink" TargetMode="External" Target="http://dsxclientpgm/enovia/common/emxNavigator.jsp?objectId=524.60425.38148.50543"/>
  <Relationship Id="rId21" Type="http://schemas.openxmlformats.org/officeDocument/2006/relationships/hyperlink" TargetMode="External" Target="http://dsxclientpgm/enovia/common/emxNavigator.jsp?objectId=524.60425.38148.50543"/>
  <Relationship Id="rId22" Type="http://schemas.openxmlformats.org/officeDocument/2006/relationships/hyperlink" TargetMode="External" Target="http://dsxclientpgm/enovia/common/emxNavigator.jsp?objectId=524.60425.38148.50543"/>
  <Relationship Id="rId23" Type="http://schemas.openxmlformats.org/officeDocument/2006/relationships/hyperlink" TargetMode="External" Target="http://dsxclientpgm/enovia/common/emxNavigator.jsp?objectId=524.60425.38148.50543"/>
  <Relationship Id="rId24" Type="http://schemas.openxmlformats.org/officeDocument/2006/relationships/hyperlink" TargetMode="External" Target="http://dsxclientpgm/enovia/common/emxNavigator.jsp?objectId=524.60425.38148.50543"/>
  <Relationship Id="rId25" Type="http://schemas.openxmlformats.org/officeDocument/2006/relationships/hyperlink" TargetMode="External" Target="http://dsxclientpgm/enovia/common/emxNavigator.jsp?objectId=524.60425.38148.50543"/>
  <Relationship Id="rId26" Type="http://schemas.openxmlformats.org/officeDocument/2006/relationships/hyperlink" TargetMode="External" Target="http://dsxclientpgm/enovia/common/emxNavigator.jsp?objectId=524.60425.38148.50543"/>
  <Relationship Id="rId27" Type="http://schemas.openxmlformats.org/officeDocument/2006/relationships/hyperlink" TargetMode="External" Target="http://dsxclientpgm/enovia/common/emxNavigator.jsp?objectId=524.60425.38148.50543"/>
  <Relationship Id="rId28" Type="http://schemas.openxmlformats.org/officeDocument/2006/relationships/hyperlink" TargetMode="External" Target="http://dsxclientpgm/enovia/common/emxNavigator.jsp?objectId=524.60425.38148.50543"/>
  <Relationship Id="rId29" Type="http://schemas.openxmlformats.org/officeDocument/2006/relationships/hyperlink" TargetMode="External" Target="http://dsxclientpgm/enovia/common/emxNavigator.jsp?objectId=524.60425.38148.50543"/>
  <Relationship Id="rId3" Type="http://schemas.openxmlformats.org/officeDocument/2006/relationships/printerSettings" Target="../printerSettings/printerSettings2.bin"/>
  <Relationship Id="rId30" Type="http://schemas.openxmlformats.org/officeDocument/2006/relationships/hyperlink" TargetMode="External" Target="http://dsxclientpgm/enovia/common/emxNavigator.jsp?objectId=524.60425.38148.50543"/>
  <Relationship Id="rId31" Type="http://schemas.openxmlformats.org/officeDocument/2006/relationships/hyperlink" TargetMode="External" Target="http://dsxclientpgm/enovia/common/emxNavigator.jsp?objectId=524.60425.38148.50543"/>
  <Relationship Id="rId32" Type="http://schemas.openxmlformats.org/officeDocument/2006/relationships/hyperlink" TargetMode="External" Target="http://dsxclientpgm/enovia/common/emxNavigator.jsp?objectId=524.60425.38148.50543"/>
  <Relationship Id="rId33" Type="http://schemas.openxmlformats.org/officeDocument/2006/relationships/hyperlink" TargetMode="External" Target="http://dsxclientpgm/enovia/common/emxNavigator.jsp?objectId=524.60425.38148.50543"/>
  <Relationship Id="rId34" Type="http://schemas.openxmlformats.org/officeDocument/2006/relationships/hyperlink" TargetMode="External" Target="http://dsxclientpgm/enovia/common/emxNavigator.jsp?objectId=524.60425.38148.50543"/>
  <Relationship Id="rId35" Type="http://schemas.openxmlformats.org/officeDocument/2006/relationships/hyperlink" TargetMode="External" Target="http://dsxclientpgm/enovia/common/emxNavigator.jsp?objectId=524.60425.38148.50543"/>
  <Relationship Id="rId36" Type="http://schemas.openxmlformats.org/officeDocument/2006/relationships/hyperlink" TargetMode="External" Target="http://dsxclientpgm/enovia/common/emxNavigator.jsp?objectId=524.60425.38148.50543"/>
  <Relationship Id="rId37" Type="http://schemas.openxmlformats.org/officeDocument/2006/relationships/hyperlink" TargetMode="External" Target="http://dsxclientpgm/enovia/common/emxNavigator.jsp?objectId=524.60425.38148.50543"/>
  <Relationship Id="rId38" Type="http://schemas.openxmlformats.org/officeDocument/2006/relationships/hyperlink" TargetMode="External" Target="http://dsxclientpgm/enovia/common/emxNavigator.jsp?objectId=524.60425.38148.50543"/>
  <Relationship Id="rId39" Type="http://schemas.openxmlformats.org/officeDocument/2006/relationships/hyperlink" TargetMode="External" Target="http://dsxclientpgm/enovia/common/emxNavigator.jsp?objectId=524.60425.38148.50543"/>
  <Relationship Id="rId4" Type="http://schemas.openxmlformats.org/officeDocument/2006/relationships/drawing" Target="../drawings/drawing2.xml"/>
  <Relationship Id="rId40" Type="http://schemas.openxmlformats.org/officeDocument/2006/relationships/hyperlink" TargetMode="External" Target="http://dsxclientpgm/enovia/common/emxNavigator.jsp?objectId=524.60425.38148.50543"/>
  <Relationship Id="rId41" Type="http://schemas.openxmlformats.org/officeDocument/2006/relationships/hyperlink" TargetMode="External" Target="http://dsxclientpgm/enovia/common/emxNavigator.jsp?objectId=524.60425.38148.50543"/>
  <Relationship Id="rId42" Type="http://schemas.openxmlformats.org/officeDocument/2006/relationships/hyperlink" TargetMode="External" Target="http://dsxclientpgm/enovia/common/emxNavigator.jsp?objectId=524.60425.38148.50543"/>
  <Relationship Id="rId43" Type="http://schemas.openxmlformats.org/officeDocument/2006/relationships/hyperlink" TargetMode="External" Target="http://dsxclientpgm/enovia/common/emxNavigator.jsp?objectId=524.60425.38148.50543"/>
  <Relationship Id="rId44" Type="http://schemas.openxmlformats.org/officeDocument/2006/relationships/hyperlink" TargetMode="External" Target="http://dsxclientpgm/enovia/common/emxNavigator.jsp?objectId=524.60425.38148.50543"/>
  <Relationship Id="rId45" Type="http://schemas.openxmlformats.org/officeDocument/2006/relationships/hyperlink" TargetMode="External" Target="http://dsxclientpgm/enovia/common/emxNavigator.jsp?objectId=524.60425.38148.50543"/>
  <Relationship Id="rId46" Type="http://schemas.openxmlformats.org/officeDocument/2006/relationships/hyperlink" TargetMode="External" Target="http://dsxclientpgm/enovia/common/emxNavigator.jsp?objectId=524.60425.38148.50543"/>
  <Relationship Id="rId47" Type="http://schemas.openxmlformats.org/officeDocument/2006/relationships/hyperlink" TargetMode="External" Target="http://dsxclientpgm/enovia/common/emxNavigator.jsp?objectId=524.60425.38148.50543"/>
  <Relationship Id="rId48" Type="http://schemas.openxmlformats.org/officeDocument/2006/relationships/hyperlink" TargetMode="External" Target="http://dsxclientpgm/enovia/common/emxNavigator.jsp?objectId=524.60425.38148.50543"/>
  <Relationship Id="rId49" Type="http://schemas.openxmlformats.org/officeDocument/2006/relationships/hyperlink" TargetMode="External" Target="http://dsxclientpgm/enovia/common/emxNavigator.jsp?objectId=524.60425.38148.50543"/>
  <Relationship Id="rId5" Type="http://schemas.openxmlformats.org/officeDocument/2006/relationships/hyperlink" TargetMode="External" Target="http://dsxclientpgm/enovia/common/emxNavigator.jsp?objectId=524.60425.38148.50543"/>
  <Relationship Id="rId50" Type="http://schemas.openxmlformats.org/officeDocument/2006/relationships/hyperlink" TargetMode="External" Target="http://dsxclientpgm/enovia/common/emxNavigator.jsp?objectId=524.60425.38148.50543"/>
  <Relationship Id="rId51" Type="http://schemas.openxmlformats.org/officeDocument/2006/relationships/hyperlink" TargetMode="External" Target="http://dsxclientpgm/enovia/common/emxNavigator.jsp?objectId=524.60425.38148.50543"/>
  <Relationship Id="rId52" Type="http://schemas.openxmlformats.org/officeDocument/2006/relationships/hyperlink" TargetMode="External" Target="http://dsxclientpgm/enovia/common/emxNavigator.jsp?objectId=524.60425.38148.50543"/>
  <Relationship Id="rId53" Type="http://schemas.openxmlformats.org/officeDocument/2006/relationships/hyperlink" TargetMode="External" Target="http://dsxclientpgm/enovia/common/emxNavigator.jsp?objectId=524.60425.38148.50543"/>
  <Relationship Id="rId54" Type="http://schemas.openxmlformats.org/officeDocument/2006/relationships/hyperlink" TargetMode="External" Target="http://dsxclientpgm/enovia/common/emxNavigator.jsp?objectId=524.60425.38148.50543"/>
  <Relationship Id="rId55" Type="http://schemas.openxmlformats.org/officeDocument/2006/relationships/hyperlink" TargetMode="External" Target="http://dsxclientpgm/enovia/common/emxNavigator.jsp?objectId=524.60425.38148.50543"/>
  <Relationship Id="rId56" Type="http://schemas.openxmlformats.org/officeDocument/2006/relationships/hyperlink" TargetMode="External" Target="http://dsxclientpgm/enovia/common/emxNavigator.jsp?objectId=524.60425.38148.50543"/>
  <Relationship Id="rId57" Type="http://schemas.openxmlformats.org/officeDocument/2006/relationships/hyperlink" TargetMode="External" Target="http://dsxclientpgm/enovia/common/emxNavigator.jsp?objectId=524.60425.38148.50543"/>
  <Relationship Id="rId58" Type="http://schemas.openxmlformats.org/officeDocument/2006/relationships/hyperlink" TargetMode="External" Target="http://dsxclientpgm/enovia/common/emxNavigator.jsp?objectId=524.60425.38148.50543"/>
  <Relationship Id="rId59" Type="http://schemas.openxmlformats.org/officeDocument/2006/relationships/hyperlink" TargetMode="External" Target="http://dsxclientpgm/enovia/common/emxNavigator.jsp?objectId=524.60425.38148.50543"/>
  <Relationship Id="rId6" Type="http://schemas.openxmlformats.org/officeDocument/2006/relationships/hyperlink" TargetMode="External" Target="http://dsxclientpgm/enovia/common/emxNavigator.jsp?objectId=524.60425.38148.50543"/>
  <Relationship Id="rId60" Type="http://schemas.openxmlformats.org/officeDocument/2006/relationships/hyperlink" TargetMode="External" Target="http://dsxclientpgm/enovia/common/emxNavigator.jsp?objectId=524.60425.38148.50543"/>
  <Relationship Id="rId61" Type="http://schemas.openxmlformats.org/officeDocument/2006/relationships/hyperlink" TargetMode="External" Target="http://dsxclientpgm/enovia/common/emxNavigator.jsp?objectId=524.60425.38148.50543"/>
  <Relationship Id="rId62" Type="http://schemas.openxmlformats.org/officeDocument/2006/relationships/hyperlink" TargetMode="External" Target="http://dsxclientpgm/enovia/common/emxNavigator.jsp?objectId=524.60425.38148.50543"/>
  <Relationship Id="rId63" Type="http://schemas.openxmlformats.org/officeDocument/2006/relationships/hyperlink" TargetMode="External" Target="http://dsxclientpgm/enovia/common/emxNavigator.jsp?objectId=524.60425.38148.50543"/>
  <Relationship Id="rId64" Type="http://schemas.openxmlformats.org/officeDocument/2006/relationships/hyperlink" TargetMode="External" Target="http://dsxclientpgm/enovia/common/emxNavigator.jsp?objectId=524.60425.38148.50543"/>
  <Relationship Id="rId7" Type="http://schemas.openxmlformats.org/officeDocument/2006/relationships/hyperlink" TargetMode="External" Target="http://dsxclientpgm/enovia/common/emxNavigator.jsp?objectId=524.60425.38148.50543"/>
  <Relationship Id="rId8" Type="http://schemas.openxmlformats.org/officeDocument/2006/relationships/hyperlink" TargetMode="External" Target="http://dsxclientpgm/enovia/common/emxNavigator.jsp?objectId=524.60425.38148.50543"/>
  <Relationship Id="rId9" Type="http://schemas.openxmlformats.org/officeDocument/2006/relationships/hyperlink" TargetMode="External" Target="http://dsxclientpgm/enovia/common/emxNavigator.jsp?objectId=524.60425.38148.50543"/>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3.bin"/>
</Relationships>

</file>

<file path=xl/worksheets/_rels/sheet5.xml.rels><?xml version="1.0" encoding="UTF-8"?>

<Relationships xmlns="http://schemas.openxmlformats.org/package/2006/relationships">
  <Relationship Id="rId1" Type="http://schemas.openxmlformats.org/officeDocument/2006/relationships/printerSettings" Target="../printerSettings/printerSettings4.bin"/>
</Relationships>

</file>

<file path=xl/worksheets/_rels/sheet6.xml.rels><?xml version="1.0" encoding="UTF-8"?>

<Relationships xmlns="http://schemas.openxmlformats.org/package/2006/relationships">
  <Relationship Id="rId1"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0" Type="http://schemas.openxmlformats.org/officeDocument/2006/relationships/hyperlink" TargetMode="External" Target="https://dsxfinance.dsone.3ds.com/psc/FSPRD/EMPLOYEE/ERP/c/DSX_SERVICE_FORECAST_MGT.DSX_FC_BASELINE.GBL?BUSINESS_UNIT=00XXX&amp;PROJECT_ID=00000XXXXX&amp;PL_FORECAST_ID=&amp;"/>
  <Relationship Id="rId11" Type="http://schemas.openxmlformats.org/officeDocument/2006/relationships/hyperlink" TargetMode="External" Target="http://dsxclientpgm/enovia/common/emxNavigator.jsp?objectId=524.60425.12816.18959"/>
  <Relationship Id="rId12"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3" Type="http://schemas.openxmlformats.org/officeDocument/2006/relationships/hyperlink" TargetMode="External" Target="https://dsxfinance.dsone.3ds.com/psc/FSPRD/EMPLOYEE/ERP/c/DSX_SERVICE_FORECAST_MGT.DSX_FC_BASELINE.GBL?BUSINESS_UNIT=00XXX&amp;PROJECT_ID=00000XXXXX&amp;PL_FORECAST_ID=&amp;"/>
  <Relationship Id="rId14" Type="http://schemas.openxmlformats.org/officeDocument/2006/relationships/hyperlink" TargetMode="External" Target="http://dsxclientpgm/enovia/common/emxNavigator.jsp?objectId=524.60425.12816.18959"/>
  <Relationship Id="rId15"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6" Type="http://schemas.openxmlformats.org/officeDocument/2006/relationships/hyperlink" TargetMode="External" Target="https://dsxfinance.dsone.3ds.com/psc/FSPRD/EMPLOYEE/ERP/c/DSX_SERVICE_FORECAST_MGT.DSX_FC_BASELINE.GBL?BUSINESS_UNIT=00XXX&amp;PROJECT_ID=00000XXXXX&amp;PL_FORECAST_ID=&amp;"/>
  <Relationship Id="rId17" Type="http://schemas.openxmlformats.org/officeDocument/2006/relationships/hyperlink" TargetMode="External" Target="http://dsxclientpgm/enovia/common/emxNavigator.jsp?objectId=524.60425.12816.18959"/>
  <Relationship Id="rId18"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19" Type="http://schemas.openxmlformats.org/officeDocument/2006/relationships/hyperlink" TargetMode="External" Target="https://dsxfinance.dsone.3ds.com/psc/FSPRD/EMPLOYEE/ERP/c/DSX_SERVICE_FORECAST_MGT.DSX_FC_BASELINE.GBL?BUSINESS_UNIT=00XXX&amp;PROJECT_ID=00000XXXXX&amp;PL_FORECAST_ID=&amp;"/>
  <Relationship Id="rId2" Type="http://schemas.openxmlformats.org/officeDocument/2006/relationships/hyperlink" TargetMode="External" Target="https://dsxfinance.dsone.3ds.com/psc/FSPRD/EMPLOYEE/ERP/c/DSX_SERVICE_FORECAST_MGT.DSX_FC_BASELINE.GBL?BUSINESS_UNIT=00XXX&amp;PROJECT_ID=00000XXXXX&amp;PL_FORECAST_ID=&amp;"/>
  <Relationship Id="rId20" Type="http://schemas.openxmlformats.org/officeDocument/2006/relationships/hyperlink" TargetMode="External" Target="http://dsxclientpgm/enovia/common/emxNavigator.jsp?objectId=524.60425.12816.18959"/>
  <Relationship Id="rId21"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22" Type="http://schemas.openxmlformats.org/officeDocument/2006/relationships/hyperlink" TargetMode="External" Target="https://dsxfinance.dsone.3ds.com/psc/FSPRD/EMPLOYEE/ERP/c/DSX_SERVICE_FORECAST_MGT.DSX_FC_BASELINE.GBL?BUSINESS_UNIT=00XXX&amp;PROJECT_ID=00000XXXXX&amp;PL_FORECAST_ID=&amp;"/>
  <Relationship Id="rId23" Type="http://schemas.openxmlformats.org/officeDocument/2006/relationships/hyperlink" TargetMode="External" Target="http://dsxclientpgm/enovia/common/emxNavigator.jsp?objectId=524.60425.12816.18959"/>
  <Relationship Id="rId24"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25" Type="http://schemas.openxmlformats.org/officeDocument/2006/relationships/hyperlink" TargetMode="External" Target="https://dsxfinance.dsone.3ds.com/psc/FSPRD/EMPLOYEE/ERP/c/DSX_SERVICE_FORECAST_MGT.DSX_FC_BASELINE.GBL?BUSINESS_UNIT=00XXX&amp;PROJECT_ID=00000XXXXX&amp;PL_FORECAST_ID=&amp;"/>
  <Relationship Id="rId26" Type="http://schemas.openxmlformats.org/officeDocument/2006/relationships/hyperlink" TargetMode="External" Target="http://dsxclientpgm/enovia/common/emxNavigator.jsp?objectId=524.60425.12816.18959"/>
  <Relationship Id="rId27"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28" Type="http://schemas.openxmlformats.org/officeDocument/2006/relationships/hyperlink" TargetMode="External" Target="https://dsxfinance.dsone.3ds.com/psc/FSPRD/EMPLOYEE/ERP/c/DSX_SERVICE_FORECAST_MGT.DSX_FC_BASELINE.GBL?BUSINESS_UNIT=00XXX&amp;PROJECT_ID=00000XXXXX&amp;PL_FORECAST_ID=&amp;"/>
  <Relationship Id="rId29" Type="http://schemas.openxmlformats.org/officeDocument/2006/relationships/hyperlink" TargetMode="External" Target="http://dsxclientpgm/enovia/common/emxNavigator.jsp?objectId=524.60425.12816.18959"/>
  <Relationship Id="rId3" Type="http://schemas.openxmlformats.org/officeDocument/2006/relationships/hyperlink" TargetMode="External" Target="https://dsext001-eu1-215dsi0708-3dswym.3dexperience.3ds.com/"/>
  <Relationship Id="rId30"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31" Type="http://schemas.openxmlformats.org/officeDocument/2006/relationships/hyperlink" TargetMode="External" Target="https://dsxfinance.dsone.3ds.com/psc/FSPRD/EMPLOYEE/ERP/c/DSX_SERVICE_FORECAST_MGT.DSX_FC_BASELINE.GBL?BUSINESS_UNIT=00XXX&amp;PROJECT_ID=00000XXXXX&amp;PL_FORECAST_ID=&amp;"/>
  <Relationship Id="rId32" Type="http://schemas.openxmlformats.org/officeDocument/2006/relationships/hyperlink" TargetMode="External" Target="http://dsxclientpgm/enovia/common/emxNavigator.jsp?objectId=524.60425.12816.18959"/>
  <Relationship Id="rId33"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34" Type="http://schemas.openxmlformats.org/officeDocument/2006/relationships/hyperlink" TargetMode="External" Target="https://dsxfinance.dsone.3ds.com/psc/FSPRD/EMPLOYEE/ERP/c/DSX_SERVICE_FORECAST_MGT.DSX_FC_BASELINE.GBL?BUSINESS_UNIT=00XXX&amp;PROJECT_ID=00000XXXXX&amp;PL_FORECAST_ID=&amp;"/>
  <Relationship Id="rId35" Type="http://schemas.openxmlformats.org/officeDocument/2006/relationships/hyperlink" TargetMode="External" Target="http://dsxclientpgm/enovia/common/emxNavigator.jsp?objectId=524.60425.12816.18959"/>
  <Relationship Id="rId36"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37" Type="http://schemas.openxmlformats.org/officeDocument/2006/relationships/hyperlink" TargetMode="External" Target="https://dsxfinance.dsone.3ds.com/psc/FSPRD/EMPLOYEE/ERP/c/DSX_SERVICE_FORECAST_MGT.DSX_FC_BASELINE.GBL?BUSINESS_UNIT=00XXX&amp;PROJECT_ID=00000XXXXX&amp;PL_FORECAST_ID=&amp;"/>
  <Relationship Id="rId38" Type="http://schemas.openxmlformats.org/officeDocument/2006/relationships/hyperlink" TargetMode="External" Target="http://dsxclientpgm/enovia/common/emxNavigator.jsp?objectId=524.60425.12816.18959"/>
  <Relationship Id="rId39"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4" Type="http://schemas.openxmlformats.org/officeDocument/2006/relationships/hyperlink" TargetMode="External" Target="http://dsxclientpgm/enovia/common/emxNavigator.jsp?objectId=524.60425.12816.18959"/>
  <Relationship Id="rId40" Type="http://schemas.openxmlformats.org/officeDocument/2006/relationships/hyperlink" TargetMode="External" Target="https://dsxfinance.dsone.3ds.com/psc/FSPRD/EMPLOYEE/ERP/c/DSX_SERVICE_FORECAST_MGT.DSX_FC_BASELINE.GBL?BUSINESS_UNIT=00XXX&amp;PROJECT_ID=00000XXXXX&amp;PL_FORECAST_ID=&amp;"/>
  <Relationship Id="rId41" Type="http://schemas.openxmlformats.org/officeDocument/2006/relationships/hyperlink" TargetMode="External" Target="http://dsxclientpgm/enovia/common/emxNavigator.jsp?objectId=524.60425.12816.18959"/>
  <Relationship Id="rId42"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43" Type="http://schemas.openxmlformats.org/officeDocument/2006/relationships/hyperlink" TargetMode="External" Target="https://dsxfinance.dsone.3ds.com/psc/FSPRD/EMPLOYEE/ERP/c/DSX_SERVICE_FORECAST_MGT.DSX_FC_BASELINE.GBL?BUSINESS_UNIT=00XXX&amp;PROJECT_ID=00000XXXXX&amp;PL_FORECAST_ID=&amp;"/>
  <Relationship Id="rId44" Type="http://schemas.openxmlformats.org/officeDocument/2006/relationships/hyperlink" TargetMode="External" Target="http://dsxclientpgm/enovia/common/emxNavigator.jsp?objectId=524.60425.12816.18959"/>
  <Relationship Id="rId45"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46" Type="http://schemas.openxmlformats.org/officeDocument/2006/relationships/hyperlink" TargetMode="External" Target="https://dsxfinance.dsone.3ds.com/psc/FSPRD/EMPLOYEE/ERP/c/DSX_SERVICE_FORECAST_MGT.DSX_FC_BASELINE.GBL?BUSINESS_UNIT=00XXX&amp;PROJECT_ID=00000XXXXX&amp;PL_FORECAST_ID=&amp;"/>
  <Relationship Id="rId47" Type="http://schemas.openxmlformats.org/officeDocument/2006/relationships/hyperlink" TargetMode="External" Target="http://dsxclientpgm/enovia/common/emxNavigator.jsp?objectId=524.60425.12816.18959"/>
  <Relationship Id="rId48"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49" Type="http://schemas.openxmlformats.org/officeDocument/2006/relationships/hyperlink" TargetMode="External" Target="https://dsxfinance.dsone.3ds.com/psc/FSPRD/EMPLOYEE/ERP/c/DSX_SERVICE_FORECAST_MGT.DSX_FC_BASELINE.GBL?BUSINESS_UNIT=00XXX&amp;PROJECT_ID=00000XXXXX&amp;PL_FORECAST_ID=&amp;"/>
  <Relationship Id="rId5" Type="http://schemas.openxmlformats.org/officeDocument/2006/relationships/printerSettings" Target="../printerSettings/printerSettings5.bin"/>
  <Relationship Id="rId50" Type="http://schemas.openxmlformats.org/officeDocument/2006/relationships/hyperlink" TargetMode="External" Target="http://dsxclientpgm/enovia/common/emxNavigator.jsp?objectId=524.60425.12816.18959"/>
  <Relationship Id="rId51"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52" Type="http://schemas.openxmlformats.org/officeDocument/2006/relationships/hyperlink" TargetMode="External" Target="https://dsxfinance.dsone.3ds.com/psc/FSPRD/EMPLOYEE/ERP/c/DSX_SERVICE_FORECAST_MGT.DSX_FC_BASELINE.GBL?BUSINESS_UNIT=00XXX&amp;PROJECT_ID=00000XXXXX&amp;PL_FORECAST_ID=&amp;"/>
  <Relationship Id="rId53" Type="http://schemas.openxmlformats.org/officeDocument/2006/relationships/hyperlink" TargetMode="External" Target="http://dsxclientpgm/enovia/common/emxNavigator.jsp?objectId=524.60425.12816.18959"/>
  <Relationship Id="rId54"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55" Type="http://schemas.openxmlformats.org/officeDocument/2006/relationships/hyperlink" TargetMode="External" Target="https://dsxfinance.dsone.3ds.com/psc/FSPRD/EMPLOYEE/ERP/c/DSX_SERVICE_FORECAST_MGT.DSX_FC_BASELINE.GBL?BUSINESS_UNIT=00XXX&amp;PROJECT_ID=00000XXXXX&amp;PL_FORECAST_ID=&amp;"/>
  <Relationship Id="rId56" Type="http://schemas.openxmlformats.org/officeDocument/2006/relationships/hyperlink" TargetMode="External" Target="http://dsxclientpgm/enovia/common/emxNavigator.jsp?objectId=524.60425.12816.18959"/>
  <Relationship Id="rId57"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58" Type="http://schemas.openxmlformats.org/officeDocument/2006/relationships/hyperlink" TargetMode="External" Target="https://dsxfinance.dsone.3ds.com/psc/FSPRD/EMPLOYEE/ERP/c/DSX_SERVICE_FORECAST_MGT.DSX_FC_BASELINE.GBL?BUSINESS_UNIT=00XXX&amp;PROJECT_ID=00000XXXXX&amp;PL_FORECAST_ID=&amp;"/>
  <Relationship Id="rId59" Type="http://schemas.openxmlformats.org/officeDocument/2006/relationships/hyperlink" TargetMode="External" Target="http://dsxclientpgm/enovia/common/emxNavigator.jsp?objectId=524.60425.12816.18959"/>
  <Relationship Id="rId6" Type="http://schemas.openxmlformats.org/officeDocument/2006/relationships/drawing" Target="../drawings/drawing3.xml"/>
  <Relationship Id="rId60"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61" Type="http://schemas.openxmlformats.org/officeDocument/2006/relationships/hyperlink" TargetMode="External" Target="https://dsxfinance.dsone.3ds.com/psc/FSPRD/EMPLOYEE/ERP/c/DSX_SERVICE_FORECAST_MGT.DSX_FC_BASELINE.GBL?BUSINESS_UNIT=00XXX&amp;PROJECT_ID=00000XXXXX&amp;PL_FORECAST_ID=&amp;"/>
  <Relationship Id="rId62" Type="http://schemas.openxmlformats.org/officeDocument/2006/relationships/hyperlink" TargetMode="External" Target="http://dsxclientpgm/enovia/common/emxNavigator.jsp?objectId=524.60425.12816.18959"/>
  <Relationship Id="rId63"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64" Type="http://schemas.openxmlformats.org/officeDocument/2006/relationships/hyperlink" TargetMode="External" Target="https://dsxfinance.dsone.3ds.com/psc/FSPRD/EMPLOYEE/ERP/c/DSX_SERVICE_FORECAST_MGT.DSX_FC_BASELINE.GBL?BUSINESS_UNIT=00XXX&amp;PROJECT_ID=00000XXXXX&amp;PL_FORECAST_ID=&amp;"/>
  <Relationship Id="rId65" Type="http://schemas.openxmlformats.org/officeDocument/2006/relationships/hyperlink" TargetMode="External" Target="http://dsxclientpgm/enovia/common/emxNavigator.jsp?objectId=524.60425.12816.18959"/>
  <Relationship Id="rId66"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67" Type="http://schemas.openxmlformats.org/officeDocument/2006/relationships/hyperlink" TargetMode="External" Target="https://dsxfinance.dsone.3ds.com/psc/FSPRD/EMPLOYEE/ERP/c/DSX_SERVICE_FORECAST_MGT.DSX_FC_BASELINE.GBL?BUSINESS_UNIT=00XXX&amp;PROJECT_ID=00000XXXXX&amp;PL_FORECAST_ID=&amp;"/>
  <Relationship Id="rId68" Type="http://schemas.openxmlformats.org/officeDocument/2006/relationships/hyperlink" TargetMode="External" Target="http://dsxclientpgm/enovia/common/emxNavigator.jsp?objectId=524.60425.12816.18959"/>
  <Relationship Id="rId69"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7" Type="http://schemas.openxmlformats.org/officeDocument/2006/relationships/vmlDrawing" Target="../drawings/vmlDrawing2.vml"/>
  <Relationship Id="rId70" Type="http://schemas.openxmlformats.org/officeDocument/2006/relationships/hyperlink" TargetMode="External" Target="https://dsxfinance.dsone.3ds.com/psc/FSPRD/EMPLOYEE/ERP/c/DSX_SERVICE_FORECAST_MGT.DSX_FC_BASELINE.GBL?BUSINESS_UNIT=00XXX&amp;PROJECT_ID=00000XXXXX&amp;PL_FORECAST_ID=&amp;"/>
  <Relationship Id="rId71" Type="http://schemas.openxmlformats.org/officeDocument/2006/relationships/hyperlink" TargetMode="External" Target="http://dsxclientpgm/enovia/common/emxNavigator.jsp?objectId=524.60425.12816.18959"/>
  <Relationship Id="rId72"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73" Type="http://schemas.openxmlformats.org/officeDocument/2006/relationships/hyperlink" TargetMode="External" Target="https://dsxfinance.dsone.3ds.com/psc/FSPRD/EMPLOYEE/ERP/c/DSX_SERVICE_FORECAST_MGT.DSX_FC_BASELINE.GBL?BUSINESS_UNIT=00XXX&amp;PROJECT_ID=00000XXXXX&amp;PL_FORECAST_ID=&amp;"/>
  <Relationship Id="rId74" Type="http://schemas.openxmlformats.org/officeDocument/2006/relationships/hyperlink" TargetMode="External" Target="http://dsxclientpgm/enovia/common/emxNavigator.jsp?objectId=524.60425.12816.18959"/>
  <Relationship Id="rId75"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76" Type="http://schemas.openxmlformats.org/officeDocument/2006/relationships/hyperlink" TargetMode="External" Target="https://dsxfinance.dsone.3ds.com/psc/FSPRD/EMPLOYEE/ERP/c/DSX_SERVICE_FORECAST_MGT.DSX_FC_BASELINE.GBL?BUSINESS_UNIT=00XXX&amp;PROJECT_ID=00000XXXXX&amp;PL_FORECAST_ID=&amp;"/>
  <Relationship Id="rId77" Type="http://schemas.openxmlformats.org/officeDocument/2006/relationships/hyperlink" TargetMode="External" Target="http://dsxclientpgm/enovia/common/emxNavigator.jsp?objectId=524.60425.12816.18959"/>
  <Relationship Id="rId78"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79" Type="http://schemas.openxmlformats.org/officeDocument/2006/relationships/hyperlink" TargetMode="External" Target="https://dsxfinance.dsone.3ds.com/psc/FSPRD/EMPLOYEE/ERP/c/DSX_SERVICE_FORECAST_MGT.DSX_FC_BASELINE.GBL?BUSINESS_UNIT=00XXX&amp;PROJECT_ID=00000XXXXX&amp;PL_FORECAST_ID=&amp;"/>
  <Relationship Id="rId8" Type="http://schemas.openxmlformats.org/officeDocument/2006/relationships/comments" Target="../comments2.xml"/>
  <Relationship Id="rId80" Type="http://schemas.openxmlformats.org/officeDocument/2006/relationships/hyperlink" TargetMode="External" Target="http://dsxclientpgm/enovia/common/emxNavigator.jsp?objectId=524.60425.12816.18959"/>
  <Relationship Id="rId81"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82" Type="http://schemas.openxmlformats.org/officeDocument/2006/relationships/hyperlink" TargetMode="External" Target="https://dsxfinance.dsone.3ds.com/psc/FSPRD/EMPLOYEE/ERP/c/DSX_SERVICE_FORECAST_MGT.DSX_FC_BASELINE.GBL?BUSINESS_UNIT=00XXX&amp;PROJECT_ID=00000XXXXX&amp;PL_FORECAST_ID=&amp;"/>
  <Relationship Id="rId83" Type="http://schemas.openxmlformats.org/officeDocument/2006/relationships/hyperlink" TargetMode="External" Target="http://dsxclientpgm/enovia/common/emxNavigator.jsp?objectId=524.60425.12816.18959"/>
  <Relationship Id="rId84"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85" Type="http://schemas.openxmlformats.org/officeDocument/2006/relationships/hyperlink" TargetMode="External" Target="https://dsxfinance.dsone.3ds.com/psc/FSPRD/EMPLOYEE/ERP/c/DSX_SERVICE_FORECAST_MGT.DSX_FC_BASELINE.GBL?BUSINESS_UNIT=00XXX&amp;PROJECT_ID=00000XXXXX&amp;PL_FORECAST_ID=&amp;"/>
  <Relationship Id="rId86" Type="http://schemas.openxmlformats.org/officeDocument/2006/relationships/hyperlink" TargetMode="External" Target="http://dsxclientpgm/enovia/common/emxNavigator.jsp?objectId=524.60425.12816.18959"/>
  <Relationship Id="rId87"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88" Type="http://schemas.openxmlformats.org/officeDocument/2006/relationships/hyperlink" TargetMode="External" Target="https://dsxfinance.dsone.3ds.com/psc/FSPRD/EMPLOYEE/ERP/c/DSX_SERVICE_FORECAST_MGT.DSX_FC_BASELINE.GBL?BUSINESS_UNIT=00XXX&amp;PROJECT_ID=00000XXXXX&amp;PL_FORECAST_ID=&amp;"/>
  <Relationship Id="rId89" Type="http://schemas.openxmlformats.org/officeDocument/2006/relationships/hyperlink" TargetMode="External" Target="http://dsxclientpgm/enovia/common/emxNavigator.jsp?objectId=524.60425.12816.18959"/>
  <Relationship Id="rId9"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90"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91" Type="http://schemas.openxmlformats.org/officeDocument/2006/relationships/hyperlink" TargetMode="External" Target="https://dsxfinance.dsone.3ds.com/psc/FSPRD/EMPLOYEE/ERP/c/DSX_SERVICE_FORECAST_MGT.DSX_FC_BASELINE.GBL?BUSINESS_UNIT=00XXX&amp;PROJECT_ID=00000XXXXX&amp;PL_FORECAST_ID=&amp;"/>
  <Relationship Id="rId92" Type="http://schemas.openxmlformats.org/officeDocument/2006/relationships/hyperlink" TargetMode="External" Target="http://dsxclientpgm/enovia/common/emxNavigator.jsp?objectId=524.60425.12816.18959"/>
  <Relationship Id="rId93"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94" Type="http://schemas.openxmlformats.org/officeDocument/2006/relationships/hyperlink" TargetMode="External" Target="https://dsxfinance.dsone.3ds.com/psc/FSPRD/EMPLOYEE/ERP/c/DSX_SERVICE_FORECAST_MGT.DSX_FC_BASELINE.GBL?BUSINESS_UNIT=00XXX&amp;PROJECT_ID=00000XXXXX&amp;PL_FORECAST_ID=&amp;"/>
  <Relationship Id="rId95" Type="http://schemas.openxmlformats.org/officeDocument/2006/relationships/hyperlink" TargetMode="External" Target="http://dsxclientpgm/enovia/common/emxNavigator.jsp?objectId=524.60425.12816.18959"/>
  <Relationship Id="rId96" Type="http://schemas.openxmlformats.org/officeDocument/2006/relationships/hyperlink" TargetMode="External" Target="http://dsxfinance.dsone.3ds.com/psp/FSPRD/EMPLOYEE/ERP/c/DSX_SERVICE_FORECAST_MGT.DSX_FORECAST_CNT.GBL?BUSINESS_UNIT=00XXX&amp;FISCAL_YEAR=2016&amp;PROJECT_ID=00000XXXXX&amp;PAGE=DSX_FORECAST_PG&amp;ACCOUNTING_PERIOD="/>
  <Relationship Id="rId97" Type="http://schemas.openxmlformats.org/officeDocument/2006/relationships/hyperlink" TargetMode="External" Target="https://dsxfinance.dsone.3ds.com/psc/FSPRD/EMPLOYEE/ERP/c/DSX_SERVICE_FORECAST_MGT.DSX_FC_BASELINE.GBL?BUSINESS_UNIT=00XXX&amp;PROJECT_ID=00000XXXXX&amp;PL_FORECAST_ID=&amp;"/>
  <Relationship Id="rId98" Type="http://schemas.openxmlformats.org/officeDocument/2006/relationships/hyperlink" TargetMode="External" Target="http://dsxclientpgm/enovia/common/emxNavigator.jsp?objectId=524.60425.12816.18959"/>
</Relationships>

</file>

<file path=xl/worksheets/_rels/sheet7.xml.rels><?xml version="1.0" encoding="UTF-8"?>

<Relationships xmlns="http://schemas.openxmlformats.org/package/2006/relationships">
  <Relationship Id="rId1" Type="http://schemas.openxmlformats.org/officeDocument/2006/relationships/vmlDrawing" Target="../drawings/vmlDrawing3.vml"/>
  <Relationship Id="rId2" Type="http://schemas.openxmlformats.org/officeDocument/2006/relationships/table" Target="../tables/table1.xml"/>
  <Relationship Id="rId3" Type="http://schemas.openxmlformats.org/officeDocument/2006/relationships/table" Target="../tables/table2.xml"/>
  <Relationship Id="rId4" Type="http://schemas.openxmlformats.org/officeDocument/2006/relationships/table" Target="../tables/table3.xml"/>
  <Relationship Id="rId5" Type="http://schemas.openxmlformats.org/officeDocument/2006/relationships/table" Target="../tables/table4.xml"/>
  <Relationship Id="rId6" Type="http://schemas.openxmlformats.org/officeDocument/2006/relationships/comments" Target="../comments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ummaryBelow="0" summaryRight="0"/>
    <pageSetUpPr fitToPage="1"/>
  </sheetPr>
  <dimension ref="A1:AG138"/>
  <sheetViews>
    <sheetView showGridLines="0" tabSelected="1" topLeftCell="A59" zoomScale="70" zoomScaleNormal="70" workbookViewId="0">
      <selection activeCell="AN69" sqref="AN69"/>
    </sheetView>
  </sheetViews>
  <sheetFormatPr defaultColWidth="9.140625" defaultRowHeight="15.75" outlineLevelRow="1" outlineLevelCol="1"/>
  <cols>
    <col min="1" max="1" customWidth="true" style="201" width="5.42578125" collapsed="true"/>
    <col min="2" max="2" customWidth="true" style="202" width="91.85546875" collapsed="true"/>
    <col min="3" max="3" customWidth="true" style="203" width="8.7109375" collapsed="true"/>
    <col min="4" max="12" customWidth="true" hidden="true" style="203" width="8.7109375" collapsed="true" outlineLevel="1"/>
    <col min="13" max="13" customWidth="true" style="203" width="15.7109375" collapsed="true"/>
    <col min="14" max="14" customWidth="true" style="203" width="30.7109375" collapsed="true"/>
    <col min="15" max="15" customWidth="true" style="194" width="30.7109375" collapsed="true"/>
    <col min="16" max="19" customWidth="true" style="194" width="16.7109375" collapsed="true"/>
    <col min="20" max="20" customWidth="true" style="298" width="16.7109375" collapsed="true"/>
    <col min="21" max="21" customWidth="true" hidden="true" style="194" width="22.42578125" collapsed="true" outlineLevel="1"/>
    <col min="22" max="22" customWidth="true" hidden="true" style="200" width="41.7109375" collapsed="true" outlineLevel="1"/>
    <col min="23" max="23" customWidth="true" hidden="true" style="200" width="15.7109375" collapsed="true" outlineLevel="1"/>
    <col min="24" max="24" customWidth="true" hidden="true" style="178" width="15.7109375" collapsed="true" outlineLevel="1"/>
    <col min="25" max="32" customWidth="true" hidden="true" style="178" width="15.7109375" collapsed="true" outlineLevel="1"/>
    <col min="33" max="16384" style="178" width="9.140625" collapsed="true"/>
  </cols>
  <sheetData>
    <row r="1" spans="1:32" s="174" customFormat="1" ht="77.25" customHeight="1">
      <c r="A1" s="182"/>
      <c r="B1" s="310"/>
      <c r="C1" s="311" t="s">
        <v>539</v>
      </c>
      <c r="D1" s="358" t="s">
        <v>316</v>
      </c>
      <c r="E1" s="358"/>
      <c r="F1" s="358"/>
      <c r="G1" s="358"/>
      <c r="H1" s="358"/>
      <c r="I1" s="358"/>
      <c r="J1" s="358"/>
      <c r="K1" s="358"/>
      <c r="L1" s="358"/>
      <c r="M1" s="358"/>
      <c r="N1" s="358"/>
      <c r="O1" s="358"/>
      <c r="P1" s="358"/>
      <c r="Q1" s="358"/>
      <c r="R1" s="358"/>
      <c r="S1" s="358"/>
      <c r="T1" s="358"/>
    </row>
    <row r="2" spans="1:32" ht="40.5" customHeight="1">
      <c r="A2" s="182"/>
      <c r="B2" s="359" t="s">
        <v>501</v>
      </c>
      <c r="C2" s="359"/>
      <c r="D2" s="359"/>
      <c r="E2" s="359"/>
      <c r="F2" s="359"/>
      <c r="G2" s="359"/>
      <c r="H2" s="359"/>
      <c r="I2" s="359"/>
      <c r="J2" s="359"/>
      <c r="K2" s="359"/>
      <c r="L2" s="359"/>
      <c r="M2" s="359"/>
      <c r="N2" s="359"/>
      <c r="O2" s="359"/>
      <c r="P2" s="359"/>
      <c r="Q2" s="359"/>
      <c r="R2" s="359"/>
      <c r="S2" s="359"/>
      <c r="T2" s="359"/>
      <c r="U2" s="182"/>
      <c r="V2" s="182"/>
      <c r="W2" s="182"/>
    </row>
    <row r="3" spans="1:32" ht="28.5" customHeight="1">
      <c r="A3" s="182"/>
      <c r="B3" s="213" t="s">
        <v>95</v>
      </c>
      <c r="C3" s="360" t="s">
        <v>528</v>
      </c>
      <c r="D3" s="360"/>
      <c r="E3" s="360"/>
      <c r="F3" s="360"/>
      <c r="G3" s="360"/>
      <c r="H3" s="360"/>
      <c r="I3" s="360"/>
      <c r="J3" s="360"/>
      <c r="K3" s="360"/>
      <c r="L3" s="360"/>
      <c r="M3" s="360"/>
      <c r="N3" s="360"/>
      <c r="O3" s="360"/>
      <c r="P3" s="360"/>
      <c r="Q3" s="360"/>
      <c r="R3" s="360"/>
      <c r="S3" s="360"/>
      <c r="T3" s="360"/>
      <c r="U3" s="385" t="s">
        <v>320</v>
      </c>
      <c r="V3" s="385"/>
      <c r="W3" s="385"/>
      <c r="X3" s="385"/>
      <c r="Y3" s="385"/>
      <c r="Z3" s="385"/>
      <c r="AA3" s="385"/>
      <c r="AB3" s="385"/>
      <c r="AC3" s="385"/>
      <c r="AD3" s="385"/>
      <c r="AE3" s="385"/>
      <c r="AF3" s="385"/>
    </row>
    <row r="4" spans="1:32" ht="22.5" customHeight="1">
      <c r="A4" s="182"/>
      <c r="B4" s="214" t="s">
        <v>96</v>
      </c>
      <c r="C4" s="361" t="s">
        <v>585</v>
      </c>
      <c r="D4" s="361"/>
      <c r="E4" s="361"/>
      <c r="F4" s="361"/>
      <c r="G4" s="361"/>
      <c r="H4" s="361"/>
      <c r="I4" s="361"/>
      <c r="J4" s="361"/>
      <c r="K4" s="361"/>
      <c r="L4" s="361"/>
      <c r="M4" s="361"/>
      <c r="N4" s="361"/>
      <c r="O4" s="361"/>
      <c r="P4" s="361"/>
      <c r="Q4" s="361"/>
      <c r="R4" s="361"/>
      <c r="S4" s="361"/>
      <c r="T4" s="361"/>
      <c r="U4" s="182"/>
      <c r="V4" s="182"/>
      <c r="W4" s="182"/>
      <c r="X4" s="182"/>
      <c r="Y4" s="182"/>
      <c r="Z4" s="182"/>
      <c r="AA4" s="182"/>
      <c r="AB4" s="182"/>
      <c r="AC4" s="182"/>
      <c r="AD4" s="182"/>
      <c r="AE4" s="182"/>
      <c r="AF4" s="182"/>
    </row>
    <row r="5" spans="1:32" ht="22.5" customHeight="1">
      <c r="A5" s="182"/>
      <c r="B5" s="214" t="s">
        <v>168</v>
      </c>
      <c r="C5" s="362" t="s">
        <v>586</v>
      </c>
      <c r="D5" s="362"/>
      <c r="E5" s="362"/>
      <c r="F5" s="362"/>
      <c r="G5" s="362"/>
      <c r="H5" s="362"/>
      <c r="I5" s="362"/>
      <c r="J5" s="362"/>
      <c r="K5" s="362"/>
      <c r="L5" s="362"/>
      <c r="M5" s="362"/>
      <c r="N5" s="362"/>
      <c r="O5" s="362"/>
      <c r="P5" s="362"/>
      <c r="Q5" s="362"/>
      <c r="R5" s="362"/>
      <c r="S5" s="362"/>
      <c r="T5" s="362"/>
      <c r="U5" s="182"/>
      <c r="V5" s="182"/>
      <c r="W5" s="182"/>
    </row>
    <row r="6" spans="1:32" ht="22.5" customHeight="1">
      <c r="A6" s="182"/>
      <c r="B6" s="214" t="s">
        <v>162</v>
      </c>
      <c r="C6" s="363" t="n">
        <v>43361.0</v>
      </c>
      <c r="D6" s="363"/>
      <c r="E6" s="363"/>
      <c r="F6" s="363"/>
      <c r="G6" s="363"/>
      <c r="H6" s="363"/>
      <c r="I6" s="363"/>
      <c r="J6" s="363"/>
      <c r="K6" s="363"/>
      <c r="L6" s="363"/>
      <c r="M6" s="363"/>
      <c r="N6" s="363"/>
      <c r="O6" s="363"/>
      <c r="P6" s="363"/>
      <c r="Q6" s="363"/>
      <c r="R6" s="363"/>
      <c r="S6" s="363"/>
      <c r="T6" s="363"/>
      <c r="U6" s="182"/>
      <c r="V6" s="182"/>
      <c r="W6" s="182"/>
    </row>
    <row r="7" spans="1:32" ht="22.5" customHeight="1">
      <c r="A7" s="182"/>
      <c r="B7" s="214" t="s">
        <v>97</v>
      </c>
      <c r="C7" s="362" t="s">
        <v>587</v>
      </c>
      <c r="D7" s="362"/>
      <c r="E7" s="362"/>
      <c r="F7" s="362"/>
      <c r="G7" s="362"/>
      <c r="H7" s="362"/>
      <c r="I7" s="362"/>
      <c r="J7" s="362"/>
      <c r="K7" s="362"/>
      <c r="L7" s="362"/>
      <c r="M7" s="362"/>
      <c r="N7" s="362"/>
      <c r="O7" s="362"/>
      <c r="P7" s="362"/>
      <c r="Q7" s="362"/>
      <c r="R7" s="362"/>
      <c r="S7" s="362"/>
      <c r="T7" s="362"/>
      <c r="U7" s="182"/>
      <c r="V7" s="182"/>
      <c r="W7" s="182"/>
    </row>
    <row r="8" spans="1:32" ht="22.5" customHeight="1">
      <c r="A8" s="182"/>
      <c r="B8" s="214" t="s">
        <v>163</v>
      </c>
      <c r="C8" s="364" t="s">
        <v>530</v>
      </c>
      <c r="D8" s="364"/>
      <c r="E8" s="364"/>
      <c r="F8" s="364"/>
      <c r="G8" s="364"/>
      <c r="H8" s="364"/>
      <c r="I8" s="364"/>
      <c r="J8" s="364"/>
      <c r="K8" s="364"/>
      <c r="L8" s="364"/>
      <c r="M8" s="364"/>
      <c r="N8" s="364"/>
      <c r="O8" s="364"/>
      <c r="P8" s="364"/>
      <c r="Q8" s="364"/>
      <c r="R8" s="364"/>
      <c r="S8" s="364"/>
      <c r="T8" s="364"/>
      <c r="U8" s="182"/>
      <c r="V8" s="182"/>
      <c r="W8" s="183"/>
    </row>
    <row r="9" spans="1:32" s="184" customFormat="1" ht="23.25">
      <c r="A9" s="182"/>
      <c r="B9" s="206"/>
      <c r="C9" s="365"/>
      <c r="D9" s="365"/>
      <c r="E9" s="365"/>
      <c r="F9" s="365"/>
      <c r="G9" s="365"/>
      <c r="H9" s="365"/>
      <c r="I9" s="365"/>
      <c r="J9" s="365"/>
      <c r="K9" s="365"/>
      <c r="L9" s="365"/>
      <c r="M9" s="365"/>
      <c r="N9" s="365"/>
      <c r="O9" s="365"/>
      <c r="P9" s="365"/>
      <c r="Q9" s="365"/>
      <c r="R9" s="365"/>
      <c r="S9" s="365"/>
      <c r="T9" s="365"/>
      <c r="U9" s="182"/>
      <c r="V9" s="182"/>
      <c r="W9" s="182"/>
    </row>
    <row r="10" spans="1:32" s="184" customFormat="1" ht="31.5">
      <c r="A10" s="182"/>
      <c r="B10" s="218" t="s">
        <v>173</v>
      </c>
      <c r="C10" s="215" t="s">
        <v>386</v>
      </c>
      <c r="D10" s="215" t="s">
        <v>392</v>
      </c>
      <c r="E10" s="215" t="s">
        <v>393</v>
      </c>
      <c r="F10" s="215" t="s">
        <v>394</v>
      </c>
      <c r="G10" s="215" t="s">
        <v>395</v>
      </c>
      <c r="H10" s="215" t="s">
        <v>396</v>
      </c>
      <c r="I10" s="215" t="s">
        <v>397</v>
      </c>
      <c r="J10" s="215" t="s">
        <v>398</v>
      </c>
      <c r="K10" s="215" t="s">
        <v>399</v>
      </c>
      <c r="L10" s="215" t="s">
        <v>400</v>
      </c>
      <c r="M10" s="330" t="s">
        <v>180</v>
      </c>
      <c r="N10" s="331"/>
      <c r="O10" s="331"/>
      <c r="P10" s="331"/>
      <c r="Q10" s="332"/>
      <c r="R10" s="357" t="s">
        <v>339</v>
      </c>
      <c r="S10" s="357"/>
      <c r="T10" s="357"/>
      <c r="W10" s="234" t="s">
        <v>440</v>
      </c>
      <c r="X10" s="234" t="s">
        <v>441</v>
      </c>
      <c r="Y10" s="234" t="s">
        <v>442</v>
      </c>
      <c r="Z10" s="234" t="s">
        <v>443</v>
      </c>
      <c r="AA10" s="234" t="s">
        <v>444</v>
      </c>
      <c r="AB10" s="234" t="s">
        <v>445</v>
      </c>
      <c r="AC10" s="234" t="s">
        <v>446</v>
      </c>
      <c r="AD10" s="234" t="s">
        <v>447</v>
      </c>
      <c r="AE10" s="234" t="s">
        <v>448</v>
      </c>
      <c r="AF10" s="234" t="s">
        <v>449</v>
      </c>
    </row>
    <row r="11" spans="1:32" s="184" customFormat="1" ht="60" customHeight="1" outlineLevel="1">
      <c r="A11" s="182"/>
      <c r="B11" s="353" t="s">
        <v>433</v>
      </c>
      <c r="C11" s="355" t="str">
        <f t="shared" ref="C11:L11" si="0">IF(ISNA(VLOOKUP(W11,Grade_Scale,2,TRUE)),"TBD",VLOOKUP(W11,Grade_Scale,2,TRUE))</f>
        <v>A</v>
      </c>
      <c r="D11" s="355" t="str">
        <f t="shared" si="0"/>
        <v>A</v>
      </c>
      <c r="E11" s="355" t="str">
        <f t="shared" si="0"/>
        <v>A</v>
      </c>
      <c r="F11" s="355" t="str">
        <f t="shared" si="0"/>
        <v>A</v>
      </c>
      <c r="G11" s="355" t="str">
        <f t="shared" si="0"/>
        <v>A</v>
      </c>
      <c r="H11" s="355" t="str">
        <f t="shared" si="0"/>
        <v>A</v>
      </c>
      <c r="I11" s="355" t="str">
        <f t="shared" si="0"/>
        <v>A</v>
      </c>
      <c r="J11" s="355" t="str">
        <f t="shared" si="0"/>
        <v>A</v>
      </c>
      <c r="K11" s="355" t="str">
        <f t="shared" si="0"/>
        <v>A</v>
      </c>
      <c r="L11" s="355" t="str">
        <f t="shared" si="0"/>
        <v>A</v>
      </c>
      <c r="M11" s="389" t="s">
        <v>524</v>
      </c>
      <c r="N11" s="390"/>
      <c r="O11" s="390"/>
      <c r="P11" s="390"/>
      <c r="Q11" s="391"/>
      <c r="R11" s="379" t="s">
        <v>418</v>
      </c>
      <c r="S11" s="380"/>
      <c r="T11" s="380"/>
      <c r="W11" s="185">
        <f t="shared" ref="W11:AF11" si="1">IF(SUM(W22:W28)=0, 0, ((SUM(W22:W28)/(COUNT(W22:W28)-COUNTIF(W22:W28,"=0")))))</f>
        <v>4</v>
      </c>
      <c r="X11" s="185">
        <f t="shared" si="1"/>
        <v>4</v>
      </c>
      <c r="Y11" s="185">
        <f t="shared" si="1"/>
        <v>4</v>
      </c>
      <c r="Z11" s="185">
        <f t="shared" si="1"/>
        <v>4</v>
      </c>
      <c r="AA11" s="185">
        <f t="shared" si="1"/>
        <v>4</v>
      </c>
      <c r="AB11" s="185">
        <f t="shared" si="1"/>
        <v>4</v>
      </c>
      <c r="AC11" s="185">
        <f t="shared" si="1"/>
        <v>4</v>
      </c>
      <c r="AD11" s="185">
        <f t="shared" si="1"/>
        <v>4</v>
      </c>
      <c r="AE11" s="185">
        <f t="shared" si="1"/>
        <v>4</v>
      </c>
      <c r="AF11" s="185">
        <f t="shared" si="1"/>
        <v>4</v>
      </c>
    </row>
    <row r="12" spans="1:32" s="184" customFormat="1" ht="60" customHeight="1" outlineLevel="1">
      <c r="A12" s="182"/>
      <c r="B12" s="354"/>
      <c r="C12" s="356"/>
      <c r="D12" s="356"/>
      <c r="E12" s="356"/>
      <c r="F12" s="356"/>
      <c r="G12" s="356"/>
      <c r="H12" s="356"/>
      <c r="I12" s="356"/>
      <c r="J12" s="356"/>
      <c r="K12" s="356"/>
      <c r="L12" s="356"/>
      <c r="M12" s="392"/>
      <c r="N12" s="393"/>
      <c r="O12" s="393"/>
      <c r="P12" s="393"/>
      <c r="Q12" s="394"/>
      <c r="R12" s="381">
        <f>'Quality Assurance #1'!$C$7</f>
        <v>0</v>
      </c>
      <c r="S12" s="382"/>
      <c r="T12" s="382"/>
      <c r="U12" s="186"/>
      <c r="V12" s="182"/>
      <c r="W12" s="182"/>
    </row>
    <row r="13" spans="1:32" s="184" customFormat="1" ht="23.25">
      <c r="A13" s="187"/>
      <c r="B13" s="207"/>
      <c r="C13" s="208"/>
      <c r="D13" s="208"/>
      <c r="E13" s="208"/>
      <c r="F13" s="208"/>
      <c r="G13" s="208"/>
      <c r="H13" s="208"/>
      <c r="I13" s="208"/>
      <c r="J13" s="208"/>
      <c r="K13" s="208"/>
      <c r="L13" s="208"/>
      <c r="M13" s="208"/>
      <c r="N13" s="208"/>
      <c r="O13" s="209"/>
      <c r="P13" s="209"/>
      <c r="Q13" s="209"/>
      <c r="R13" s="209"/>
      <c r="S13" s="210"/>
      <c r="T13" s="300"/>
      <c r="U13" s="182"/>
      <c r="V13" s="182"/>
      <c r="W13" s="182"/>
    </row>
    <row r="14" spans="1:32" s="184" customFormat="1">
      <c r="A14" s="187"/>
      <c r="B14" s="213" t="s">
        <v>181</v>
      </c>
      <c r="C14" s="330" t="s">
        <v>182</v>
      </c>
      <c r="D14" s="331"/>
      <c r="E14" s="331"/>
      <c r="F14" s="331"/>
      <c r="G14" s="331"/>
      <c r="H14" s="331"/>
      <c r="I14" s="331"/>
      <c r="J14" s="331"/>
      <c r="K14" s="331"/>
      <c r="L14" s="331"/>
      <c r="M14" s="331"/>
      <c r="N14" s="331"/>
      <c r="O14" s="332"/>
      <c r="P14" s="216" t="s">
        <v>179</v>
      </c>
      <c r="Q14" s="302" t="s">
        <v>176</v>
      </c>
      <c r="R14" s="302" t="s">
        <v>329</v>
      </c>
      <c r="S14" s="357" t="s">
        <v>330</v>
      </c>
      <c r="T14" s="357"/>
      <c r="V14" s="182"/>
      <c r="W14" s="182"/>
    </row>
    <row r="15" spans="1:32" s="184" customFormat="1" ht="27" customHeight="1" outlineLevel="1">
      <c r="A15" s="187"/>
      <c r="B15" s="221" t="s">
        <v>156</v>
      </c>
      <c r="C15" s="371" t="s">
        <v>450</v>
      </c>
      <c r="D15" s="372"/>
      <c r="E15" s="372"/>
      <c r="F15" s="372"/>
      <c r="G15" s="372"/>
      <c r="H15" s="372"/>
      <c r="I15" s="372"/>
      <c r="J15" s="372"/>
      <c r="K15" s="372"/>
      <c r="L15" s="372"/>
      <c r="M15" s="372"/>
      <c r="N15" s="372"/>
      <c r="O15" s="373"/>
      <c r="P15" s="279">
        <v>42370</v>
      </c>
      <c r="Q15" s="308" t="s">
        <v>331</v>
      </c>
      <c r="R15" s="308" t="s">
        <v>434</v>
      </c>
      <c r="S15" s="369" t="s">
        <v>332</v>
      </c>
      <c r="T15" s="369"/>
      <c r="V15" s="182"/>
      <c r="W15" s="182"/>
    </row>
    <row r="16" spans="1:32" s="184" customFormat="1" ht="27" customHeight="1" outlineLevel="1">
      <c r="A16" s="187"/>
      <c r="B16" s="221" t="s">
        <v>175</v>
      </c>
      <c r="C16" s="371" t="s">
        <v>450</v>
      </c>
      <c r="D16" s="372"/>
      <c r="E16" s="372"/>
      <c r="F16" s="372"/>
      <c r="G16" s="372"/>
      <c r="H16" s="372"/>
      <c r="I16" s="372"/>
      <c r="J16" s="372"/>
      <c r="K16" s="372"/>
      <c r="L16" s="372"/>
      <c r="M16" s="372"/>
      <c r="N16" s="372"/>
      <c r="O16" s="373"/>
      <c r="P16" s="279">
        <v>42371</v>
      </c>
      <c r="Q16" s="308" t="s">
        <v>334</v>
      </c>
      <c r="R16" s="308" t="s">
        <v>435</v>
      </c>
      <c r="S16" s="369" t="s">
        <v>333</v>
      </c>
      <c r="T16" s="369"/>
      <c r="V16" s="182"/>
      <c r="W16" s="182"/>
    </row>
    <row r="17" spans="1:32" s="184" customFormat="1" ht="27" customHeight="1" outlineLevel="1">
      <c r="A17" s="187"/>
      <c r="B17" s="221" t="s">
        <v>326</v>
      </c>
      <c r="C17" s="371" t="s">
        <v>450</v>
      </c>
      <c r="D17" s="372"/>
      <c r="E17" s="372"/>
      <c r="F17" s="372"/>
      <c r="G17" s="372"/>
      <c r="H17" s="372"/>
      <c r="I17" s="372"/>
      <c r="J17" s="372"/>
      <c r="K17" s="372"/>
      <c r="L17" s="372"/>
      <c r="M17" s="372"/>
      <c r="N17" s="372"/>
      <c r="O17" s="373"/>
      <c r="P17" s="279">
        <v>42372</v>
      </c>
      <c r="Q17" s="308" t="s">
        <v>336</v>
      </c>
      <c r="R17" s="308" t="s">
        <v>436</v>
      </c>
      <c r="S17" s="369" t="s">
        <v>335</v>
      </c>
      <c r="T17" s="369"/>
      <c r="V17" s="182"/>
      <c r="W17" s="182"/>
    </row>
    <row r="18" spans="1:32" s="184" customFormat="1" ht="27" customHeight="1" outlineLevel="1">
      <c r="A18" s="187"/>
      <c r="B18" s="221" t="s">
        <v>322</v>
      </c>
      <c r="C18" s="371" t="s">
        <v>450</v>
      </c>
      <c r="D18" s="372"/>
      <c r="E18" s="372"/>
      <c r="F18" s="372"/>
      <c r="G18" s="372"/>
      <c r="H18" s="372"/>
      <c r="I18" s="372"/>
      <c r="J18" s="372"/>
      <c r="K18" s="372"/>
      <c r="L18" s="372"/>
      <c r="M18" s="372"/>
      <c r="N18" s="372"/>
      <c r="O18" s="373"/>
      <c r="P18" s="279">
        <v>42373</v>
      </c>
      <c r="Q18" s="308" t="s">
        <v>331</v>
      </c>
      <c r="R18" s="308" t="s">
        <v>437</v>
      </c>
      <c r="S18" s="369" t="s">
        <v>337</v>
      </c>
      <c r="T18" s="369"/>
      <c r="V18" s="182"/>
      <c r="W18" s="182"/>
    </row>
    <row r="19" spans="1:32" s="184" customFormat="1" ht="27" customHeight="1" outlineLevel="1">
      <c r="A19" s="187"/>
      <c r="B19" s="221" t="s">
        <v>155</v>
      </c>
      <c r="C19" s="371" t="s">
        <v>450</v>
      </c>
      <c r="D19" s="372"/>
      <c r="E19" s="372"/>
      <c r="F19" s="372"/>
      <c r="G19" s="372"/>
      <c r="H19" s="372"/>
      <c r="I19" s="372"/>
      <c r="J19" s="372"/>
      <c r="K19" s="372"/>
      <c r="L19" s="372"/>
      <c r="M19" s="372"/>
      <c r="N19" s="372"/>
      <c r="O19" s="373"/>
      <c r="P19" s="279">
        <v>42374</v>
      </c>
      <c r="Q19" s="308" t="s">
        <v>334</v>
      </c>
      <c r="R19" s="308" t="s">
        <v>438</v>
      </c>
      <c r="S19" s="369" t="s">
        <v>338</v>
      </c>
      <c r="T19" s="369"/>
      <c r="V19" s="182"/>
      <c r="W19" s="182"/>
    </row>
    <row r="20" spans="1:32" s="182" customFormat="1" ht="23.25">
      <c r="A20" s="188"/>
      <c r="B20" s="370"/>
      <c r="C20" s="370"/>
      <c r="D20" s="370"/>
      <c r="E20" s="370"/>
      <c r="F20" s="370"/>
      <c r="G20" s="370"/>
      <c r="H20" s="370"/>
      <c r="I20" s="370"/>
      <c r="J20" s="370"/>
      <c r="K20" s="370"/>
      <c r="L20" s="370"/>
      <c r="M20" s="370"/>
      <c r="N20" s="370"/>
      <c r="O20" s="370"/>
      <c r="P20" s="370"/>
      <c r="Q20" s="370"/>
      <c r="R20" s="370"/>
      <c r="S20" s="370"/>
      <c r="T20" s="370"/>
    </row>
    <row r="21" spans="1:32" s="184" customFormat="1">
      <c r="A21" s="187"/>
      <c r="B21" s="218" t="s">
        <v>164</v>
      </c>
      <c r="C21" s="220">
        <v>1</v>
      </c>
      <c r="D21" s="225">
        <v>2</v>
      </c>
      <c r="E21" s="225">
        <v>3</v>
      </c>
      <c r="F21" s="225">
        <v>4</v>
      </c>
      <c r="G21" s="225">
        <v>5</v>
      </c>
      <c r="H21" s="225">
        <v>6</v>
      </c>
      <c r="I21" s="225">
        <v>7</v>
      </c>
      <c r="J21" s="225">
        <v>8</v>
      </c>
      <c r="K21" s="225">
        <v>9</v>
      </c>
      <c r="L21" s="225">
        <v>10</v>
      </c>
      <c r="M21" s="357" t="s">
        <v>180</v>
      </c>
      <c r="N21" s="357"/>
      <c r="O21" s="357"/>
      <c r="P21" s="357"/>
      <c r="Q21" s="357"/>
      <c r="R21" s="357"/>
      <c r="S21" s="357"/>
      <c r="T21" s="357"/>
      <c r="W21" s="284" t="s">
        <v>440</v>
      </c>
      <c r="X21" s="284" t="s">
        <v>441</v>
      </c>
      <c r="Y21" s="284" t="s">
        <v>442</v>
      </c>
      <c r="Z21" s="284" t="s">
        <v>443</v>
      </c>
      <c r="AA21" s="284" t="s">
        <v>444</v>
      </c>
      <c r="AB21" s="284" t="s">
        <v>445</v>
      </c>
      <c r="AC21" s="284" t="s">
        <v>446</v>
      </c>
      <c r="AD21" s="284" t="s">
        <v>447</v>
      </c>
      <c r="AE21" s="284" t="s">
        <v>448</v>
      </c>
      <c r="AF21" s="284" t="s">
        <v>449</v>
      </c>
    </row>
    <row r="22" spans="1:32" ht="27" customHeight="1" outlineLevel="1">
      <c r="A22" s="259"/>
      <c r="B22" s="221" t="s">
        <v>154</v>
      </c>
      <c r="C22" s="222" t="str">
        <f t="shared" ref="C22:L28" si="2">IF(ISNA(VLOOKUP(W22,Grade_Scale,2,TRUE)),"TBD",VLOOKUP(W22,Grade_Scale,2,TRUE))</f>
        <v>A</v>
      </c>
      <c r="D22" s="222" t="str">
        <f t="shared" si="2"/>
        <v>A</v>
      </c>
      <c r="E22" s="222" t="str">
        <f t="shared" si="2"/>
        <v>A</v>
      </c>
      <c r="F22" s="222" t="str">
        <f t="shared" si="2"/>
        <v>A</v>
      </c>
      <c r="G22" s="222" t="str">
        <f t="shared" si="2"/>
        <v>A</v>
      </c>
      <c r="H22" s="222" t="str">
        <f t="shared" si="2"/>
        <v>A</v>
      </c>
      <c r="I22" s="222" t="str">
        <f t="shared" si="2"/>
        <v>A</v>
      </c>
      <c r="J22" s="222" t="str">
        <f t="shared" si="2"/>
        <v>A</v>
      </c>
      <c r="K22" s="222" t="str">
        <f t="shared" si="2"/>
        <v>A</v>
      </c>
      <c r="L22" s="222" t="str">
        <f t="shared" si="2"/>
        <v>A</v>
      </c>
      <c r="M22" s="374"/>
      <c r="N22" s="374"/>
      <c r="O22" s="374"/>
      <c r="P22" s="374"/>
      <c r="Q22" s="374"/>
      <c r="R22" s="374"/>
      <c r="S22" s="374"/>
      <c r="T22" s="374"/>
      <c r="W22" s="181">
        <f t="array" ref="W22">IF(SUM((IF($U$42:$U$101=$B22,$U$42:$W$101)))=0,0,SUM(IF($U$42:$U$101=$B22,$U$42:$W$101))/COUNT(IF($W$42:$W$101&gt;0,IF($U$42:$U$101=$B22,$U$42:$W$101))))</f>
        <v>4</v>
      </c>
      <c r="X22" s="181">
        <f t="shared" ref="X22:AF22" si="3">(SUM(X43:X54)/(COUNT(X43:X54)-COUNTIF(X43:X54,"=0")))</f>
        <v>4</v>
      </c>
      <c r="Y22" s="181">
        <f t="shared" si="3"/>
        <v>4</v>
      </c>
      <c r="Z22" s="181">
        <f t="shared" si="3"/>
        <v>4</v>
      </c>
      <c r="AA22" s="181">
        <f t="shared" si="3"/>
        <v>4</v>
      </c>
      <c r="AB22" s="181">
        <f t="shared" si="3"/>
        <v>4</v>
      </c>
      <c r="AC22" s="181">
        <f t="shared" si="3"/>
        <v>4</v>
      </c>
      <c r="AD22" s="181">
        <f t="shared" si="3"/>
        <v>4</v>
      </c>
      <c r="AE22" s="181">
        <f t="shared" si="3"/>
        <v>4</v>
      </c>
      <c r="AF22" s="181">
        <f t="shared" si="3"/>
        <v>4</v>
      </c>
    </row>
    <row r="23" spans="1:32" s="184" customFormat="1" ht="27" customHeight="1" outlineLevel="1">
      <c r="A23" s="259"/>
      <c r="B23" s="221" t="s">
        <v>155</v>
      </c>
      <c r="C23" s="222" t="str">
        <f t="shared" si="2"/>
        <v>A</v>
      </c>
      <c r="D23" s="222" t="str">
        <f t="shared" si="2"/>
        <v>A</v>
      </c>
      <c r="E23" s="222" t="str">
        <f t="shared" si="2"/>
        <v>A</v>
      </c>
      <c r="F23" s="222" t="str">
        <f t="shared" si="2"/>
        <v>A</v>
      </c>
      <c r="G23" s="222" t="str">
        <f t="shared" si="2"/>
        <v>A</v>
      </c>
      <c r="H23" s="222" t="str">
        <f t="shared" si="2"/>
        <v>A</v>
      </c>
      <c r="I23" s="222" t="str">
        <f t="shared" si="2"/>
        <v>A</v>
      </c>
      <c r="J23" s="222" t="str">
        <f t="shared" si="2"/>
        <v>A</v>
      </c>
      <c r="K23" s="222" t="str">
        <f t="shared" si="2"/>
        <v>A</v>
      </c>
      <c r="L23" s="222" t="str">
        <f t="shared" si="2"/>
        <v>A</v>
      </c>
      <c r="M23" s="374"/>
      <c r="N23" s="374"/>
      <c r="O23" s="374"/>
      <c r="P23" s="374"/>
      <c r="Q23" s="374"/>
      <c r="R23" s="374"/>
      <c r="S23" s="374"/>
      <c r="T23" s="374"/>
      <c r="W23" s="181">
        <f t="array" ref="W23">IF(SUM((IF($U$42:$U$101=$B23,$U$42:$W$101)))=0,0,SUM(IF($U$42:$U$101=$B23,$U$42:$W$101))/COUNT(IF($W$42:$W$101&gt;0,IF($U$42:$U$101=$B23,$U$42:$W$101))))</f>
        <v>4</v>
      </c>
      <c r="X23" s="181">
        <f t="shared" ref="X23:AF23" si="4">(SUM(X56:X59)/(COUNT(X56:X59)-COUNTIF(X56:X59,"=0")))</f>
        <v>4</v>
      </c>
      <c r="Y23" s="181">
        <f t="shared" si="4"/>
        <v>4</v>
      </c>
      <c r="Z23" s="181">
        <f t="shared" si="4"/>
        <v>4</v>
      </c>
      <c r="AA23" s="181">
        <f t="shared" si="4"/>
        <v>4</v>
      </c>
      <c r="AB23" s="181">
        <f t="shared" si="4"/>
        <v>4</v>
      </c>
      <c r="AC23" s="181">
        <f t="shared" si="4"/>
        <v>4</v>
      </c>
      <c r="AD23" s="181">
        <f t="shared" si="4"/>
        <v>4</v>
      </c>
      <c r="AE23" s="181">
        <f t="shared" si="4"/>
        <v>4</v>
      </c>
      <c r="AF23" s="181">
        <f t="shared" si="4"/>
        <v>4</v>
      </c>
    </row>
    <row r="24" spans="1:32" ht="27" customHeight="1" outlineLevel="1">
      <c r="A24" s="259"/>
      <c r="B24" s="221" t="s">
        <v>175</v>
      </c>
      <c r="C24" s="222" t="str">
        <f t="shared" si="2"/>
        <v>A</v>
      </c>
      <c r="D24" s="222" t="str">
        <f t="shared" si="2"/>
        <v>A</v>
      </c>
      <c r="E24" s="222" t="str">
        <f t="shared" si="2"/>
        <v>A</v>
      </c>
      <c r="F24" s="222" t="str">
        <f t="shared" si="2"/>
        <v>A</v>
      </c>
      <c r="G24" s="222" t="str">
        <f t="shared" si="2"/>
        <v>A</v>
      </c>
      <c r="H24" s="222" t="str">
        <f t="shared" si="2"/>
        <v>A</v>
      </c>
      <c r="I24" s="222" t="str">
        <f t="shared" si="2"/>
        <v>A</v>
      </c>
      <c r="J24" s="222" t="str">
        <f t="shared" si="2"/>
        <v>A</v>
      </c>
      <c r="K24" s="222" t="str">
        <f t="shared" si="2"/>
        <v>A</v>
      </c>
      <c r="L24" s="222" t="str">
        <f t="shared" si="2"/>
        <v>A</v>
      </c>
      <c r="M24" s="374"/>
      <c r="N24" s="374"/>
      <c r="O24" s="374"/>
      <c r="P24" s="374"/>
      <c r="Q24" s="374"/>
      <c r="R24" s="374"/>
      <c r="S24" s="374"/>
      <c r="T24" s="374"/>
      <c r="W24" s="181">
        <f t="array" ref="W24">IF(SUM((IF($U$42:$U$101=$B24,$U$42:$W$101)))=0,0,SUM(IF($U$42:$U$101=$B24,$U$42:$W$101))/COUNT(IF($W$42:$W$101&gt;0,IF($U$42:$U$101=$B24,$U$42:$W$101))))</f>
        <v>4</v>
      </c>
      <c r="X24" s="181">
        <f t="shared" ref="X24:AF24" si="5">(SUM(X61:X64)/(COUNT(X61:X64)-COUNTIF(X61:X64,"=0")))</f>
        <v>4</v>
      </c>
      <c r="Y24" s="181">
        <f t="shared" si="5"/>
        <v>4</v>
      </c>
      <c r="Z24" s="181">
        <f t="shared" si="5"/>
        <v>4</v>
      </c>
      <c r="AA24" s="181">
        <f t="shared" si="5"/>
        <v>4</v>
      </c>
      <c r="AB24" s="181">
        <f t="shared" si="5"/>
        <v>4</v>
      </c>
      <c r="AC24" s="181">
        <f t="shared" si="5"/>
        <v>4</v>
      </c>
      <c r="AD24" s="181">
        <f t="shared" si="5"/>
        <v>4</v>
      </c>
      <c r="AE24" s="181">
        <f t="shared" si="5"/>
        <v>4</v>
      </c>
      <c r="AF24" s="181">
        <f t="shared" si="5"/>
        <v>4</v>
      </c>
    </row>
    <row r="25" spans="1:32" ht="27" customHeight="1" outlineLevel="1">
      <c r="A25" s="259"/>
      <c r="B25" s="221" t="s">
        <v>322</v>
      </c>
      <c r="C25" s="222" t="str">
        <f t="shared" si="2"/>
        <v>A</v>
      </c>
      <c r="D25" s="222" t="str">
        <f t="shared" si="2"/>
        <v>A</v>
      </c>
      <c r="E25" s="222" t="str">
        <f t="shared" si="2"/>
        <v>A</v>
      </c>
      <c r="F25" s="222" t="str">
        <f t="shared" si="2"/>
        <v>A</v>
      </c>
      <c r="G25" s="222" t="str">
        <f t="shared" si="2"/>
        <v>A</v>
      </c>
      <c r="H25" s="222" t="str">
        <f t="shared" si="2"/>
        <v>A</v>
      </c>
      <c r="I25" s="222" t="str">
        <f t="shared" si="2"/>
        <v>A</v>
      </c>
      <c r="J25" s="222" t="str">
        <f t="shared" si="2"/>
        <v>A</v>
      </c>
      <c r="K25" s="222" t="str">
        <f t="shared" si="2"/>
        <v>A</v>
      </c>
      <c r="L25" s="222" t="str">
        <f t="shared" si="2"/>
        <v>A</v>
      </c>
      <c r="M25" s="374"/>
      <c r="N25" s="374"/>
      <c r="O25" s="374"/>
      <c r="P25" s="374"/>
      <c r="Q25" s="374"/>
      <c r="R25" s="374"/>
      <c r="S25" s="374"/>
      <c r="T25" s="374"/>
      <c r="W25" s="181">
        <f t="array" ref="W25">IF(SUM((IF($U$42:$U$101=$B25,$U$42:$W$101)))=0,0,SUM(IF($U$42:$U$101=$B25,$U$42:$W$101))/COUNT(IF($W$42:$W$101&gt;0,IF($U$42:$U$101=$B25,$U$42:$W$101))))</f>
        <v>4</v>
      </c>
      <c r="X25" s="181">
        <f t="shared" ref="X25:AF25" si="6">(SUM(X66:X69)/(COUNT(X66:X69)-COUNTIF(X66:X69,"=0")))</f>
        <v>4</v>
      </c>
      <c r="Y25" s="181">
        <f t="shared" si="6"/>
        <v>4</v>
      </c>
      <c r="Z25" s="181">
        <f t="shared" si="6"/>
        <v>4</v>
      </c>
      <c r="AA25" s="181">
        <f t="shared" si="6"/>
        <v>4</v>
      </c>
      <c r="AB25" s="181">
        <f t="shared" si="6"/>
        <v>4</v>
      </c>
      <c r="AC25" s="181">
        <f t="shared" si="6"/>
        <v>4</v>
      </c>
      <c r="AD25" s="181">
        <f t="shared" si="6"/>
        <v>4</v>
      </c>
      <c r="AE25" s="181">
        <f t="shared" si="6"/>
        <v>4</v>
      </c>
      <c r="AF25" s="181">
        <f t="shared" si="6"/>
        <v>4</v>
      </c>
    </row>
    <row r="26" spans="1:32" ht="27" customHeight="1" outlineLevel="1">
      <c r="A26" s="259"/>
      <c r="B26" s="221" t="s">
        <v>326</v>
      </c>
      <c r="C26" s="222" t="str">
        <f t="shared" si="2"/>
        <v>A</v>
      </c>
      <c r="D26" s="222" t="str">
        <f t="shared" si="2"/>
        <v>A</v>
      </c>
      <c r="E26" s="222" t="str">
        <f t="shared" si="2"/>
        <v>A</v>
      </c>
      <c r="F26" s="222" t="str">
        <f t="shared" si="2"/>
        <v>A</v>
      </c>
      <c r="G26" s="222" t="str">
        <f t="shared" si="2"/>
        <v>A</v>
      </c>
      <c r="H26" s="222" t="str">
        <f t="shared" si="2"/>
        <v>A</v>
      </c>
      <c r="I26" s="222" t="str">
        <f t="shared" si="2"/>
        <v>A</v>
      </c>
      <c r="J26" s="222" t="str">
        <f t="shared" si="2"/>
        <v>A</v>
      </c>
      <c r="K26" s="222" t="str">
        <f t="shared" si="2"/>
        <v>A</v>
      </c>
      <c r="L26" s="222" t="str">
        <f t="shared" si="2"/>
        <v>A</v>
      </c>
      <c r="M26" s="374"/>
      <c r="N26" s="374"/>
      <c r="O26" s="374"/>
      <c r="P26" s="374"/>
      <c r="Q26" s="374"/>
      <c r="R26" s="374"/>
      <c r="S26" s="374"/>
      <c r="T26" s="374"/>
      <c r="W26" s="181">
        <f t="array" ref="W26">IF(SUM((IF($U$42:$U$101=$B26,$U$42:$W$101)))=0,0,SUM(IF($U$42:$U$101=$B26,$U$42:$W$101))/COUNT(IF($W$42:$W$101&gt;0,IF($U$42:$U$101=$B26,$U$42:$W$101))))</f>
        <v>4</v>
      </c>
      <c r="X26" s="181">
        <f t="shared" ref="X26:AF26" si="7">(SUM(X71:X81)/(COUNT(X71:X81)-COUNTIF(X71:X81,"=0")))</f>
        <v>4</v>
      </c>
      <c r="Y26" s="181">
        <f t="shared" si="7"/>
        <v>4</v>
      </c>
      <c r="Z26" s="181">
        <f t="shared" si="7"/>
        <v>4</v>
      </c>
      <c r="AA26" s="181">
        <f t="shared" si="7"/>
        <v>4</v>
      </c>
      <c r="AB26" s="181">
        <f t="shared" si="7"/>
        <v>4</v>
      </c>
      <c r="AC26" s="181">
        <f t="shared" si="7"/>
        <v>4</v>
      </c>
      <c r="AD26" s="181">
        <f t="shared" si="7"/>
        <v>4</v>
      </c>
      <c r="AE26" s="181">
        <f t="shared" si="7"/>
        <v>4</v>
      </c>
      <c r="AF26" s="181">
        <f t="shared" si="7"/>
        <v>4</v>
      </c>
    </row>
    <row r="27" spans="1:32" ht="27" customHeight="1" outlineLevel="1">
      <c r="A27" s="259"/>
      <c r="B27" s="221" t="s">
        <v>311</v>
      </c>
      <c r="C27" s="222" t="str">
        <f t="shared" si="2"/>
        <v>A</v>
      </c>
      <c r="D27" s="222" t="str">
        <f t="shared" si="2"/>
        <v>A</v>
      </c>
      <c r="E27" s="222" t="str">
        <f t="shared" si="2"/>
        <v>A</v>
      </c>
      <c r="F27" s="222" t="str">
        <f t="shared" si="2"/>
        <v>A</v>
      </c>
      <c r="G27" s="222" t="str">
        <f t="shared" si="2"/>
        <v>A</v>
      </c>
      <c r="H27" s="222" t="str">
        <f t="shared" si="2"/>
        <v>A</v>
      </c>
      <c r="I27" s="222" t="str">
        <f t="shared" si="2"/>
        <v>A</v>
      </c>
      <c r="J27" s="222" t="str">
        <f t="shared" si="2"/>
        <v>A</v>
      </c>
      <c r="K27" s="222" t="str">
        <f t="shared" si="2"/>
        <v>A</v>
      </c>
      <c r="L27" s="222" t="str">
        <f t="shared" si="2"/>
        <v>A</v>
      </c>
      <c r="M27" s="374"/>
      <c r="N27" s="374"/>
      <c r="O27" s="374"/>
      <c r="P27" s="374"/>
      <c r="Q27" s="374"/>
      <c r="R27" s="374"/>
      <c r="S27" s="374"/>
      <c r="T27" s="374"/>
      <c r="W27" s="181">
        <f t="array" ref="W27">IF(SUM((IF($U$42:$U$101=$B27,$U$42:$W$101)))=0,0,SUM(IF($U$42:$U$101=$B27,$U$42:$W$101))/COUNT(IF($W$42:$W$101&gt;0,IF($U$42:$U$101=$B27,$U$42:$W$101))))</f>
        <v>4</v>
      </c>
      <c r="X27" s="181">
        <f t="shared" ref="X27:AF27" si="8">(SUM(X83:X92)/(COUNT(X83:X92)-COUNTIF(X83:X92,"=0")))</f>
        <v>4</v>
      </c>
      <c r="Y27" s="181">
        <f t="shared" si="8"/>
        <v>4</v>
      </c>
      <c r="Z27" s="181">
        <f t="shared" si="8"/>
        <v>4</v>
      </c>
      <c r="AA27" s="181">
        <f t="shared" si="8"/>
        <v>4</v>
      </c>
      <c r="AB27" s="181">
        <f t="shared" si="8"/>
        <v>4</v>
      </c>
      <c r="AC27" s="181">
        <f t="shared" si="8"/>
        <v>4</v>
      </c>
      <c r="AD27" s="181">
        <f t="shared" si="8"/>
        <v>4</v>
      </c>
      <c r="AE27" s="181">
        <f t="shared" si="8"/>
        <v>4</v>
      </c>
      <c r="AF27" s="181">
        <f t="shared" si="8"/>
        <v>4</v>
      </c>
    </row>
    <row r="28" spans="1:32" s="184" customFormat="1" ht="27" customHeight="1" outlineLevel="1">
      <c r="A28" s="259"/>
      <c r="B28" s="221" t="s">
        <v>156</v>
      </c>
      <c r="C28" s="222" t="str">
        <f t="shared" si="2"/>
        <v>A</v>
      </c>
      <c r="D28" s="222" t="str">
        <f t="shared" si="2"/>
        <v>A</v>
      </c>
      <c r="E28" s="222" t="str">
        <f t="shared" si="2"/>
        <v>A</v>
      </c>
      <c r="F28" s="222" t="str">
        <f t="shared" si="2"/>
        <v>A</v>
      </c>
      <c r="G28" s="222" t="str">
        <f t="shared" si="2"/>
        <v>A</v>
      </c>
      <c r="H28" s="222" t="str">
        <f t="shared" si="2"/>
        <v>A</v>
      </c>
      <c r="I28" s="222" t="str">
        <f t="shared" si="2"/>
        <v>A</v>
      </c>
      <c r="J28" s="222" t="str">
        <f t="shared" si="2"/>
        <v>A</v>
      </c>
      <c r="K28" s="222" t="str">
        <f t="shared" si="2"/>
        <v>A</v>
      </c>
      <c r="L28" s="222" t="str">
        <f t="shared" si="2"/>
        <v>A</v>
      </c>
      <c r="M28" s="374"/>
      <c r="N28" s="374"/>
      <c r="O28" s="374"/>
      <c r="P28" s="374"/>
      <c r="Q28" s="374"/>
      <c r="R28" s="374"/>
      <c r="S28" s="374"/>
      <c r="T28" s="374"/>
      <c r="W28" s="181">
        <f t="array" ref="W28">IF(SUM((IF($U$42:$U$101=$B28,$U$42:$W$101)))=0,0,SUM(IF($U$42:$U$101=$B28,$U$42:$W$101))/COUNT(IF($W$42:$W$101&gt;0,IF($U$42:$U$101=$B28,$U$42:$W$101))))</f>
        <v>4</v>
      </c>
      <c r="X28" s="181">
        <f t="shared" ref="X28:AF28" si="9">(SUM(X94:X101)/(COUNT(X94:X101)-COUNTIF(X94:X101,"=0")))</f>
        <v>4</v>
      </c>
      <c r="Y28" s="181">
        <f t="shared" si="9"/>
        <v>4</v>
      </c>
      <c r="Z28" s="181">
        <f t="shared" si="9"/>
        <v>4</v>
      </c>
      <c r="AA28" s="181">
        <f t="shared" si="9"/>
        <v>4</v>
      </c>
      <c r="AB28" s="181">
        <f t="shared" si="9"/>
        <v>4</v>
      </c>
      <c r="AC28" s="181">
        <f t="shared" si="9"/>
        <v>4</v>
      </c>
      <c r="AD28" s="181">
        <f t="shared" si="9"/>
        <v>4</v>
      </c>
      <c r="AE28" s="181">
        <f t="shared" si="9"/>
        <v>4</v>
      </c>
      <c r="AF28" s="181">
        <f t="shared" si="9"/>
        <v>4</v>
      </c>
    </row>
    <row r="29" spans="1:32" ht="23.25">
      <c r="A29" s="177"/>
      <c r="B29" s="375"/>
      <c r="C29" s="375"/>
      <c r="D29" s="375"/>
      <c r="E29" s="375"/>
      <c r="F29" s="375"/>
      <c r="G29" s="375"/>
      <c r="H29" s="375"/>
      <c r="I29" s="375"/>
      <c r="J29" s="375"/>
      <c r="K29" s="375"/>
      <c r="L29" s="375"/>
      <c r="M29" s="375"/>
      <c r="N29" s="375"/>
      <c r="O29" s="375"/>
      <c r="P29" s="375"/>
      <c r="Q29" s="375"/>
      <c r="R29" s="375"/>
      <c r="S29" s="375"/>
      <c r="T29" s="375"/>
      <c r="U29" s="177"/>
      <c r="V29" s="177"/>
      <c r="W29" s="177"/>
    </row>
    <row r="30" spans="1:32" s="184" customFormat="1">
      <c r="A30" s="187"/>
      <c r="B30" s="376" t="s">
        <v>174</v>
      </c>
      <c r="C30" s="376"/>
      <c r="D30" s="376"/>
      <c r="E30" s="376"/>
      <c r="F30" s="376"/>
      <c r="G30" s="376"/>
      <c r="H30" s="376"/>
      <c r="I30" s="376"/>
      <c r="J30" s="376"/>
      <c r="K30" s="376"/>
      <c r="L30" s="376"/>
      <c r="M30" s="376"/>
      <c r="N30" s="376"/>
      <c r="O30" s="376"/>
      <c r="P30" s="376"/>
      <c r="Q30" s="376"/>
      <c r="R30" s="376"/>
      <c r="S30" s="376"/>
      <c r="T30" s="376"/>
      <c r="U30" s="177"/>
      <c r="V30" s="177"/>
      <c r="W30" s="177"/>
    </row>
    <row r="31" spans="1:32" s="184" customFormat="1" ht="56.25" customHeight="1" outlineLevel="1">
      <c r="A31" s="177"/>
      <c r="B31" s="278" t="s">
        <v>177</v>
      </c>
      <c r="C31" s="386"/>
      <c r="D31" s="386"/>
      <c r="E31" s="386"/>
      <c r="F31" s="386"/>
      <c r="G31" s="386"/>
      <c r="H31" s="386"/>
      <c r="I31" s="386"/>
      <c r="J31" s="386"/>
      <c r="K31" s="386"/>
      <c r="L31" s="386"/>
      <c r="M31" s="386"/>
      <c r="N31" s="386"/>
      <c r="O31" s="386"/>
      <c r="P31" s="386"/>
      <c r="Q31" s="386"/>
      <c r="R31" s="386"/>
      <c r="S31" s="386"/>
      <c r="T31" s="386"/>
      <c r="U31" s="177"/>
      <c r="V31" s="177"/>
      <c r="W31" s="177"/>
    </row>
    <row r="32" spans="1:32" s="184" customFormat="1" ht="53.25" customHeight="1" outlineLevel="1">
      <c r="A32" s="177"/>
      <c r="B32" s="278" t="s">
        <v>178</v>
      </c>
      <c r="C32" s="386"/>
      <c r="D32" s="386"/>
      <c r="E32" s="386"/>
      <c r="F32" s="386"/>
      <c r="G32" s="386"/>
      <c r="H32" s="386"/>
      <c r="I32" s="386"/>
      <c r="J32" s="386"/>
      <c r="K32" s="386"/>
      <c r="L32" s="386"/>
      <c r="M32" s="386"/>
      <c r="N32" s="386"/>
      <c r="O32" s="386"/>
      <c r="P32" s="386"/>
      <c r="Q32" s="386"/>
      <c r="R32" s="386"/>
      <c r="S32" s="386"/>
      <c r="T32" s="386"/>
      <c r="U32" s="177"/>
      <c r="V32" s="177"/>
      <c r="W32" s="177"/>
    </row>
    <row r="33" spans="1:32" s="184" customFormat="1" ht="20.100000000000001" customHeight="1" outlineLevel="1">
      <c r="A33" s="177"/>
      <c r="B33" s="366" t="s">
        <v>512</v>
      </c>
      <c r="C33" s="292"/>
      <c r="D33" s="289"/>
      <c r="E33" s="289"/>
      <c r="F33" s="289"/>
      <c r="G33" s="289"/>
      <c r="H33" s="289"/>
      <c r="I33" s="289"/>
      <c r="J33" s="289"/>
      <c r="K33" s="289"/>
      <c r="L33" s="289"/>
      <c r="M33" s="293"/>
      <c r="N33" s="312"/>
      <c r="O33" s="312"/>
      <c r="P33" s="312"/>
      <c r="Q33" s="312"/>
      <c r="R33" s="312"/>
      <c r="S33" s="387"/>
      <c r="T33" s="388"/>
      <c r="U33" s="177"/>
      <c r="V33" s="177"/>
      <c r="W33" s="177"/>
    </row>
    <row r="34" spans="1:32" s="184" customFormat="1" ht="20.100000000000001" customHeight="1" outlineLevel="1">
      <c r="A34" s="177"/>
      <c r="B34" s="367"/>
      <c r="C34" s="289"/>
      <c r="D34" s="289"/>
      <c r="E34" s="289"/>
      <c r="F34" s="289"/>
      <c r="G34" s="289"/>
      <c r="H34" s="289"/>
      <c r="I34" s="289"/>
      <c r="J34" s="289"/>
      <c r="K34" s="289"/>
      <c r="L34" s="289"/>
      <c r="M34" s="306"/>
      <c r="N34" s="303" t="s">
        <v>502</v>
      </c>
      <c r="O34" s="304" t="s">
        <v>503</v>
      </c>
      <c r="P34" s="304" t="s">
        <v>504</v>
      </c>
      <c r="Q34" s="305" t="s">
        <v>505</v>
      </c>
      <c r="R34" s="305" t="s">
        <v>506</v>
      </c>
      <c r="S34" s="307" t="s">
        <v>507</v>
      </c>
      <c r="T34" s="291"/>
      <c r="U34" s="177"/>
      <c r="V34" s="177"/>
      <c r="W34" s="177"/>
    </row>
    <row r="35" spans="1:32" s="184" customFormat="1" ht="20.100000000000001" customHeight="1" outlineLevel="1">
      <c r="A35" s="177"/>
      <c r="B35" s="367"/>
      <c r="C35" s="289"/>
      <c r="D35" s="289"/>
      <c r="E35" s="289"/>
      <c r="F35" s="289"/>
      <c r="G35" s="289"/>
      <c r="H35" s="289"/>
      <c r="I35" s="289"/>
      <c r="J35" s="289"/>
      <c r="K35" s="289"/>
      <c r="L35" s="289"/>
      <c r="N35" s="296" t="s">
        <v>508</v>
      </c>
      <c r="O35" s="294" t="s">
        <v>509</v>
      </c>
      <c r="P35" s="294"/>
      <c r="Q35" s="294"/>
      <c r="R35" s="294"/>
      <c r="S35" s="294"/>
      <c r="T35" s="291"/>
      <c r="U35" s="177"/>
      <c r="V35" s="177"/>
      <c r="W35" s="177"/>
    </row>
    <row r="36" spans="1:32" s="184" customFormat="1" ht="20.100000000000001" customHeight="1" outlineLevel="1">
      <c r="A36" s="177"/>
      <c r="B36" s="367"/>
      <c r="C36" s="289"/>
      <c r="D36" s="289"/>
      <c r="E36" s="289"/>
      <c r="F36" s="289"/>
      <c r="G36" s="289"/>
      <c r="H36" s="289"/>
      <c r="I36" s="289"/>
      <c r="J36" s="289"/>
      <c r="K36" s="289"/>
      <c r="L36" s="289"/>
      <c r="N36" s="296" t="s">
        <v>508</v>
      </c>
      <c r="O36" s="294" t="s">
        <v>509</v>
      </c>
      <c r="P36" s="294"/>
      <c r="Q36" s="294"/>
      <c r="R36" s="294"/>
      <c r="S36" s="294"/>
      <c r="T36" s="291"/>
      <c r="U36" s="177"/>
      <c r="V36" s="177"/>
      <c r="W36" s="177"/>
    </row>
    <row r="37" spans="1:32" s="184" customFormat="1" ht="20.100000000000001" customHeight="1" outlineLevel="1">
      <c r="A37" s="177"/>
      <c r="B37" s="367"/>
      <c r="C37" s="289"/>
      <c r="D37" s="289"/>
      <c r="E37" s="289"/>
      <c r="F37" s="289"/>
      <c r="G37" s="289"/>
      <c r="H37" s="289"/>
      <c r="I37" s="289"/>
      <c r="J37" s="289"/>
      <c r="K37" s="289"/>
      <c r="L37" s="289"/>
      <c r="N37" s="296" t="s">
        <v>508</v>
      </c>
      <c r="O37" s="294" t="s">
        <v>509</v>
      </c>
      <c r="P37" s="294"/>
      <c r="Q37" s="294"/>
      <c r="R37" s="294"/>
      <c r="S37" s="294"/>
      <c r="T37" s="291"/>
      <c r="U37" s="177"/>
      <c r="V37" s="177"/>
      <c r="W37" s="177"/>
    </row>
    <row r="38" spans="1:32" s="184" customFormat="1" ht="20.100000000000001" customHeight="1" outlineLevel="1">
      <c r="A38" s="177"/>
      <c r="B38" s="367"/>
      <c r="C38" s="289"/>
      <c r="D38" s="289"/>
      <c r="E38" s="289"/>
      <c r="F38" s="289"/>
      <c r="G38" s="289"/>
      <c r="H38" s="289"/>
      <c r="I38" s="289"/>
      <c r="J38" s="289"/>
      <c r="K38" s="289"/>
      <c r="L38" s="289"/>
      <c r="N38" s="296" t="s">
        <v>508</v>
      </c>
      <c r="O38" s="294" t="s">
        <v>509</v>
      </c>
      <c r="P38" s="294"/>
      <c r="Q38" s="294"/>
      <c r="R38" s="294"/>
      <c r="S38" s="294"/>
      <c r="T38" s="291"/>
      <c r="U38" s="177"/>
      <c r="V38" s="177"/>
      <c r="W38" s="177"/>
    </row>
    <row r="39" spans="1:32" s="184" customFormat="1" ht="20.100000000000001" customHeight="1" outlineLevel="1">
      <c r="A39" s="177"/>
      <c r="B39" s="367"/>
      <c r="C39" s="289"/>
      <c r="D39" s="289"/>
      <c r="E39" s="289"/>
      <c r="F39" s="289"/>
      <c r="G39" s="289"/>
      <c r="H39" s="289"/>
      <c r="I39" s="289"/>
      <c r="J39" s="289"/>
      <c r="K39" s="289"/>
      <c r="L39" s="289"/>
      <c r="N39" s="286"/>
      <c r="O39" s="287"/>
      <c r="P39" s="295" t="s">
        <v>511</v>
      </c>
      <c r="Q39" s="287">
        <f>SUM(S35:S38)</f>
        <v>0</v>
      </c>
      <c r="R39" s="287" t="s">
        <v>510</v>
      </c>
      <c r="S39" s="288"/>
      <c r="T39" s="291"/>
      <c r="U39" s="177"/>
      <c r="V39" s="177"/>
      <c r="W39" s="177"/>
    </row>
    <row r="40" spans="1:32" s="184" customFormat="1" ht="20.100000000000001" customHeight="1" outlineLevel="1">
      <c r="A40" s="177"/>
      <c r="B40" s="368"/>
      <c r="C40" s="290"/>
      <c r="D40" s="290"/>
      <c r="E40" s="290"/>
      <c r="F40" s="290"/>
      <c r="G40" s="290"/>
      <c r="H40" s="290"/>
      <c r="I40" s="290"/>
      <c r="J40" s="290"/>
      <c r="K40" s="290"/>
      <c r="L40" s="290"/>
      <c r="M40" s="290"/>
      <c r="N40" s="290"/>
      <c r="O40" s="290"/>
      <c r="P40" s="290"/>
      <c r="Q40" s="290"/>
      <c r="R40" s="290"/>
      <c r="S40" s="377"/>
      <c r="T40" s="378"/>
      <c r="U40" s="313"/>
      <c r="V40" s="313"/>
      <c r="W40" s="313"/>
      <c r="X40" s="314"/>
      <c r="Y40" s="314"/>
      <c r="Z40" s="314"/>
      <c r="AA40" s="314"/>
      <c r="AB40" s="314"/>
      <c r="AC40" s="314"/>
      <c r="AD40" s="314"/>
      <c r="AE40" s="314"/>
      <c r="AF40" s="314"/>
    </row>
    <row r="41" spans="1:32" collapsed="1">
      <c r="A41" s="177"/>
      <c r="B41" s="180"/>
      <c r="C41" s="189"/>
      <c r="D41" s="189"/>
      <c r="E41" s="189"/>
      <c r="F41" s="189"/>
      <c r="G41" s="189"/>
      <c r="H41" s="189"/>
      <c r="I41" s="189"/>
      <c r="J41" s="189"/>
      <c r="K41" s="189"/>
      <c r="L41" s="189"/>
      <c r="M41" s="189"/>
      <c r="N41" s="189"/>
      <c r="O41" s="190"/>
      <c r="P41" s="190"/>
      <c r="Q41" s="190"/>
      <c r="R41" s="190"/>
      <c r="S41" s="178"/>
      <c r="T41" s="297"/>
      <c r="U41" s="177"/>
      <c r="V41" s="177"/>
      <c r="W41" s="177"/>
    </row>
    <row r="42" spans="1:32">
      <c r="A42" s="177"/>
      <c r="B42" s="213" t="str">
        <f>B22</f>
        <v>SCOPE</v>
      </c>
      <c r="C42" s="309">
        <v>1</v>
      </c>
      <c r="D42" s="309">
        <v>2</v>
      </c>
      <c r="E42" s="309">
        <v>3</v>
      </c>
      <c r="F42" s="309">
        <v>4</v>
      </c>
      <c r="G42" s="309">
        <v>5</v>
      </c>
      <c r="H42" s="309">
        <v>6</v>
      </c>
      <c r="I42" s="309">
        <v>7</v>
      </c>
      <c r="J42" s="309">
        <v>8</v>
      </c>
      <c r="K42" s="309">
        <v>9</v>
      </c>
      <c r="L42" s="309">
        <v>10</v>
      </c>
      <c r="M42" s="357" t="s">
        <v>389</v>
      </c>
      <c r="N42" s="357"/>
      <c r="O42" s="357"/>
      <c r="P42" s="357"/>
      <c r="Q42" s="357"/>
      <c r="R42" s="357"/>
      <c r="S42" s="357"/>
      <c r="T42" s="357"/>
      <c r="U42" s="316" t="s">
        <v>315</v>
      </c>
      <c r="V42" s="316" t="s">
        <v>328</v>
      </c>
      <c r="W42" s="316" t="s">
        <v>440</v>
      </c>
      <c r="X42" s="316" t="s">
        <v>441</v>
      </c>
      <c r="Y42" s="316" t="s">
        <v>442</v>
      </c>
      <c r="Z42" s="316" t="s">
        <v>443</v>
      </c>
      <c r="AA42" s="316" t="s">
        <v>444</v>
      </c>
      <c r="AB42" s="316" t="s">
        <v>445</v>
      </c>
      <c r="AC42" s="316" t="s">
        <v>446</v>
      </c>
      <c r="AD42" s="316" t="s">
        <v>447</v>
      </c>
      <c r="AE42" s="316" t="s">
        <v>448</v>
      </c>
      <c r="AF42" s="316" t="s">
        <v>449</v>
      </c>
    </row>
    <row r="43" spans="1:32" ht="33.75" customHeight="1" outlineLevel="1">
      <c r="A43" s="177"/>
      <c r="B43" s="285" t="s">
        <v>388</v>
      </c>
      <c r="C43" s="283" t="s">
        <v>159</v>
      </c>
      <c r="D43" s="283" t="s">
        <v>584</v>
      </c>
      <c r="E43" s="283" t="s">
        <v>158</v>
      </c>
      <c r="F43" s="283" t="s">
        <v>158</v>
      </c>
      <c r="G43" s="283" t="s">
        <v>158</v>
      </c>
      <c r="H43" s="283" t="s">
        <v>158</v>
      </c>
      <c r="I43" s="283" t="s">
        <v>158</v>
      </c>
      <c r="J43" s="283" t="s">
        <v>158</v>
      </c>
      <c r="K43" s="283" t="s">
        <v>158</v>
      </c>
      <c r="L43" s="283" t="s">
        <v>158</v>
      </c>
      <c r="M43" s="345"/>
      <c r="N43" s="346"/>
      <c r="O43" s="346"/>
      <c r="P43" s="346"/>
      <c r="Q43" s="346"/>
      <c r="R43" s="346"/>
      <c r="S43" s="346"/>
      <c r="T43" s="347"/>
      <c r="U43" s="231" t="s">
        <v>154</v>
      </c>
      <c r="V43" s="231" t="s">
        <v>309</v>
      </c>
      <c r="W43" s="231">
        <f>IF(C43&lt;&gt;"",VLOOKUP(C43,t_GradeWeight[],2,FALSE),0)</f>
        <v>4</v>
      </c>
      <c r="X43" s="231">
        <f>IF(D43&lt;&gt;"",VLOOKUP(D43,t_GradeWeight[],2,FALSE),0)</f>
        <v>4</v>
      </c>
      <c r="Y43" s="231">
        <f>IF(E43&lt;&gt;"",VLOOKUP(E43,t_GradeWeight[],2,FALSE),0)</f>
        <v>4</v>
      </c>
      <c r="Z43" s="231">
        <f>IF(F43&lt;&gt;"",VLOOKUP(F43,t_GradeWeight[],2,FALSE),0)</f>
        <v>4</v>
      </c>
      <c r="AA43" s="231">
        <f>IF(G43&lt;&gt;"",VLOOKUP(G43,t_GradeWeight[],2,FALSE),0)</f>
        <v>4</v>
      </c>
      <c r="AB43" s="231">
        <f>IF(H43&lt;&gt;"",VLOOKUP(H43,t_GradeWeight[],2,FALSE),0)</f>
        <v>4</v>
      </c>
      <c r="AC43" s="231">
        <f>IF(I43&lt;&gt;"",VLOOKUP(I43,t_GradeWeight[],2,FALSE),0)</f>
        <v>4</v>
      </c>
      <c r="AD43" s="231">
        <f>IF(J43&lt;&gt;"",VLOOKUP(J43,t_GradeWeight[],2,FALSE),0)</f>
        <v>4</v>
      </c>
      <c r="AE43" s="231">
        <f>IF(K43&lt;&gt;"",VLOOKUP(K43,t_GradeWeight[],2,FALSE),0)</f>
        <v>4</v>
      </c>
      <c r="AF43" s="231">
        <f>IF(L43&lt;&gt;"",VLOOKUP(L43,t_GradeWeight[],2,FALSE),0)</f>
        <v>4</v>
      </c>
    </row>
    <row r="44" spans="1:32" ht="27" customHeight="1" outlineLevel="1">
      <c r="A44" s="177"/>
      <c r="B44" s="285" t="s">
        <v>580</v>
      </c>
      <c r="C44" s="283" t="s">
        <v>161</v>
      </c>
      <c r="D44" s="283" t="s">
        <v>544</v>
      </c>
      <c r="E44" s="283" t="s">
        <v>158</v>
      </c>
      <c r="F44" s="283" t="s">
        <v>158</v>
      </c>
      <c r="G44" s="283" t="s">
        <v>158</v>
      </c>
      <c r="H44" s="283" t="s">
        <v>158</v>
      </c>
      <c r="I44" s="283" t="s">
        <v>158</v>
      </c>
      <c r="J44" s="283" t="s">
        <v>158</v>
      </c>
      <c r="K44" s="283" t="s">
        <v>158</v>
      </c>
      <c r="L44" s="283" t="s">
        <v>158</v>
      </c>
      <c r="M44" s="345"/>
      <c r="N44" s="346"/>
      <c r="O44" s="346"/>
      <c r="P44" s="346"/>
      <c r="Q44" s="346"/>
      <c r="R44" s="346"/>
      <c r="S44" s="346"/>
      <c r="T44" s="347"/>
      <c r="U44" s="231" t="s">
        <v>154</v>
      </c>
      <c r="V44" s="231" t="s">
        <v>309</v>
      </c>
      <c r="W44" s="231">
        <f>IF($C44&lt;&gt;"",VLOOKUP(C44,t_GradeWeight[],2,FALSE),0)</f>
        <v>4</v>
      </c>
      <c r="X44" s="231">
        <f>IF(D44&lt;&gt;"",VLOOKUP(D44,t_GradeWeight[],2,FALSE),0)</f>
        <v>4</v>
      </c>
      <c r="Y44" s="231">
        <f>IF(E44&lt;&gt;"",VLOOKUP(E44,t_GradeWeight[],2,FALSE),0)</f>
        <v>4</v>
      </c>
      <c r="Z44" s="231">
        <f>IF(F44&lt;&gt;"",VLOOKUP(F44,t_GradeWeight[],2,FALSE),0)</f>
        <v>4</v>
      </c>
      <c r="AA44" s="231">
        <f>IF(G44&lt;&gt;"",VLOOKUP(G44,t_GradeWeight[],2,FALSE),0)</f>
        <v>4</v>
      </c>
      <c r="AB44" s="231">
        <f>IF(H44&lt;&gt;"",VLOOKUP(H44,t_GradeWeight[],2,FALSE),0)</f>
        <v>4</v>
      </c>
      <c r="AC44" s="231">
        <f>IF(I44&lt;&gt;"",VLOOKUP(I44,t_GradeWeight[],2,FALSE),0)</f>
        <v>4</v>
      </c>
      <c r="AD44" s="231">
        <f>IF(J44&lt;&gt;"",VLOOKUP(J44,t_GradeWeight[],2,FALSE),0)</f>
        <v>4</v>
      </c>
      <c r="AE44" s="231">
        <f>IF(K44&lt;&gt;"",VLOOKUP(K44,t_GradeWeight[],2,FALSE),0)</f>
        <v>4</v>
      </c>
      <c r="AF44" s="231">
        <f>IF(L44&lt;&gt;"",VLOOKUP(L44,t_GradeWeight[],2,FALSE),0)</f>
        <v>4</v>
      </c>
    </row>
    <row r="45" spans="1:32" s="191" customFormat="1" ht="27" customHeight="1" outlineLevel="1">
      <c r="A45" s="177"/>
      <c r="B45" s="285" t="s">
        <v>581</v>
      </c>
      <c r="C45" s="283" t="s">
        <v>158</v>
      </c>
      <c r="D45" s="283" t="s">
        <v>544</v>
      </c>
      <c r="E45" s="283" t="s">
        <v>158</v>
      </c>
      <c r="F45" s="283" t="s">
        <v>158</v>
      </c>
      <c r="G45" s="283" t="s">
        <v>158</v>
      </c>
      <c r="H45" s="283" t="s">
        <v>158</v>
      </c>
      <c r="I45" s="283" t="s">
        <v>158</v>
      </c>
      <c r="J45" s="283" t="s">
        <v>158</v>
      </c>
      <c r="K45" s="283" t="s">
        <v>158</v>
      </c>
      <c r="L45" s="283" t="s">
        <v>158</v>
      </c>
      <c r="M45" s="345"/>
      <c r="N45" s="346"/>
      <c r="O45" s="346"/>
      <c r="P45" s="346"/>
      <c r="Q45" s="346"/>
      <c r="R45" s="346"/>
      <c r="S45" s="346"/>
      <c r="T45" s="347"/>
      <c r="U45" s="231" t="s">
        <v>154</v>
      </c>
      <c r="V45" s="231" t="s">
        <v>310</v>
      </c>
      <c r="W45" s="231">
        <f>IF($C45&lt;&gt;"",VLOOKUP(C45,t_GradeWeight[],2,FALSE),0)</f>
        <v>4</v>
      </c>
      <c r="X45" s="231">
        <f>IF(D45&lt;&gt;"",VLOOKUP(D45,t_GradeWeight[],2,FALSE),0)</f>
        <v>4</v>
      </c>
      <c r="Y45" s="231">
        <f>IF(E45&lt;&gt;"",VLOOKUP(E45,t_GradeWeight[],2,FALSE),0)</f>
        <v>4</v>
      </c>
      <c r="Z45" s="231">
        <f>IF(F45&lt;&gt;"",VLOOKUP(F45,t_GradeWeight[],2,FALSE),0)</f>
        <v>4</v>
      </c>
      <c r="AA45" s="231">
        <f>IF(G45&lt;&gt;"",VLOOKUP(G45,t_GradeWeight[],2,FALSE),0)</f>
        <v>4</v>
      </c>
      <c r="AB45" s="231">
        <f>IF(H45&lt;&gt;"",VLOOKUP(H45,t_GradeWeight[],2,FALSE),0)</f>
        <v>4</v>
      </c>
      <c r="AC45" s="231">
        <f>IF(I45&lt;&gt;"",VLOOKUP(I45,t_GradeWeight[],2,FALSE),0)</f>
        <v>4</v>
      </c>
      <c r="AD45" s="231">
        <f>IF(J45&lt;&gt;"",VLOOKUP(J45,t_GradeWeight[],2,FALSE),0)</f>
        <v>4</v>
      </c>
      <c r="AE45" s="231">
        <f>IF(K45&lt;&gt;"",VLOOKUP(K45,t_GradeWeight[],2,FALSE),0)</f>
        <v>4</v>
      </c>
      <c r="AF45" s="231">
        <f>IF(L45&lt;&gt;"",VLOOKUP(L45,t_GradeWeight[],2,FALSE),0)</f>
        <v>4</v>
      </c>
    </row>
    <row r="46" spans="1:32" ht="27" customHeight="1" outlineLevel="1">
      <c r="A46" s="177"/>
      <c r="B46" s="285" t="s">
        <v>388</v>
      </c>
      <c r="C46" s="283" t="s">
        <v>160</v>
      </c>
      <c r="D46" s="283" t="s">
        <v>544</v>
      </c>
      <c r="E46" s="283" t="s">
        <v>158</v>
      </c>
      <c r="F46" s="283" t="s">
        <v>158</v>
      </c>
      <c r="G46" s="283" t="s">
        <v>158</v>
      </c>
      <c r="H46" s="283" t="s">
        <v>158</v>
      </c>
      <c r="I46" s="283" t="s">
        <v>158</v>
      </c>
      <c r="J46" s="283" t="s">
        <v>158</v>
      </c>
      <c r="K46" s="283" t="s">
        <v>158</v>
      </c>
      <c r="L46" s="283" t="s">
        <v>158</v>
      </c>
      <c r="M46" s="345"/>
      <c r="N46" s="346"/>
      <c r="O46" s="346"/>
      <c r="P46" s="346"/>
      <c r="Q46" s="346"/>
      <c r="R46" s="346"/>
      <c r="S46" s="346"/>
      <c r="T46" s="347"/>
      <c r="U46" s="231" t="s">
        <v>154</v>
      </c>
      <c r="V46" s="231" t="s">
        <v>325</v>
      </c>
      <c r="W46" s="231">
        <f>IF($C46&lt;&gt;"",VLOOKUP(C46,t_GradeWeight[],2,FALSE),0)</f>
        <v>4</v>
      </c>
      <c r="X46" s="231">
        <f>IF(D46&lt;&gt;"",VLOOKUP(D46,t_GradeWeight[],2,FALSE),0)</f>
        <v>4</v>
      </c>
      <c r="Y46" s="231">
        <f>IF(E46&lt;&gt;"",VLOOKUP(E46,t_GradeWeight[],2,FALSE),0)</f>
        <v>4</v>
      </c>
      <c r="Z46" s="231">
        <f>IF(F46&lt;&gt;"",VLOOKUP(F46,t_GradeWeight[],2,FALSE),0)</f>
        <v>4</v>
      </c>
      <c r="AA46" s="231">
        <f>IF(G46&lt;&gt;"",VLOOKUP(G46,t_GradeWeight[],2,FALSE),0)</f>
        <v>4</v>
      </c>
      <c r="AB46" s="231">
        <f>IF(H46&lt;&gt;"",VLOOKUP(H46,t_GradeWeight[],2,FALSE),0)</f>
        <v>4</v>
      </c>
      <c r="AC46" s="231">
        <f>IF(I46&lt;&gt;"",VLOOKUP(I46,t_GradeWeight[],2,FALSE),0)</f>
        <v>4</v>
      </c>
      <c r="AD46" s="231">
        <f>IF(J46&lt;&gt;"",VLOOKUP(J46,t_GradeWeight[],2,FALSE),0)</f>
        <v>4</v>
      </c>
      <c r="AE46" s="231">
        <f>IF(K46&lt;&gt;"",VLOOKUP(K46,t_GradeWeight[],2,FALSE),0)</f>
        <v>4</v>
      </c>
      <c r="AF46" s="231">
        <f>IF(L46&lt;&gt;"",VLOOKUP(L46,t_GradeWeight[],2,FALSE),0)</f>
        <v>4</v>
      </c>
    </row>
    <row r="47" spans="1:32" ht="27" customHeight="1" outlineLevel="1">
      <c r="A47" s="177"/>
      <c r="B47" s="285" t="s">
        <v>570</v>
      </c>
      <c r="C47" s="283" t="s">
        <v>158</v>
      </c>
      <c r="D47" s="283" t="s">
        <v>544</v>
      </c>
      <c r="E47" s="283" t="s">
        <v>158</v>
      </c>
      <c r="F47" s="283" t="s">
        <v>158</v>
      </c>
      <c r="G47" s="283" t="s">
        <v>158</v>
      </c>
      <c r="H47" s="283" t="s">
        <v>158</v>
      </c>
      <c r="I47" s="283" t="s">
        <v>158</v>
      </c>
      <c r="J47" s="283" t="s">
        <v>158</v>
      </c>
      <c r="K47" s="283" t="s">
        <v>158</v>
      </c>
      <c r="L47" s="283" t="s">
        <v>158</v>
      </c>
      <c r="M47" s="345"/>
      <c r="N47" s="346"/>
      <c r="O47" s="346"/>
      <c r="P47" s="346"/>
      <c r="Q47" s="346"/>
      <c r="R47" s="346"/>
      <c r="S47" s="346"/>
      <c r="T47" s="347"/>
      <c r="U47" s="231" t="s">
        <v>154</v>
      </c>
      <c r="V47" s="231" t="s">
        <v>310</v>
      </c>
      <c r="W47" s="231">
        <f>IF($C47&lt;&gt;"",VLOOKUP(C47,t_GradeWeight[],2,FALSE),0)</f>
        <v>4</v>
      </c>
      <c r="X47" s="231">
        <f>IF(D47&lt;&gt;"",VLOOKUP(D47,t_GradeWeight[],2,FALSE),0)</f>
        <v>4</v>
      </c>
      <c r="Y47" s="231">
        <f>IF(E47&lt;&gt;"",VLOOKUP(E47,t_GradeWeight[],2,FALSE),0)</f>
        <v>4</v>
      </c>
      <c r="Z47" s="231">
        <f>IF(F47&lt;&gt;"",VLOOKUP(F47,t_GradeWeight[],2,FALSE),0)</f>
        <v>4</v>
      </c>
      <c r="AA47" s="231">
        <f>IF(G47&lt;&gt;"",VLOOKUP(G47,t_GradeWeight[],2,FALSE),0)</f>
        <v>4</v>
      </c>
      <c r="AB47" s="231">
        <f>IF(H47&lt;&gt;"",VLOOKUP(H47,t_GradeWeight[],2,FALSE),0)</f>
        <v>4</v>
      </c>
      <c r="AC47" s="231">
        <f>IF(I47&lt;&gt;"",VLOOKUP(I47,t_GradeWeight[],2,FALSE),0)</f>
        <v>4</v>
      </c>
      <c r="AD47" s="231">
        <f>IF(J47&lt;&gt;"",VLOOKUP(J47,t_GradeWeight[],2,FALSE),0)</f>
        <v>4</v>
      </c>
      <c r="AE47" s="231">
        <f>IF(K47&lt;&gt;"",VLOOKUP(K47,t_GradeWeight[],2,FALSE),0)</f>
        <v>4</v>
      </c>
      <c r="AF47" s="231">
        <f>IF(L47&lt;&gt;"",VLOOKUP(L47,t_GradeWeight[],2,FALSE),0)</f>
        <v>4</v>
      </c>
    </row>
    <row r="48" spans="1:32" s="191" customFormat="1" ht="27" customHeight="1" outlineLevel="1">
      <c r="A48" s="177"/>
      <c r="B48" s="285" t="s">
        <v>571</v>
      </c>
      <c r="C48" s="283" t="s">
        <v>158</v>
      </c>
      <c r="D48" s="283" t="s">
        <v>544</v>
      </c>
      <c r="E48" s="283" t="s">
        <v>158</v>
      </c>
      <c r="F48" s="283" t="s">
        <v>158</v>
      </c>
      <c r="G48" s="283" t="s">
        <v>158</v>
      </c>
      <c r="H48" s="283" t="s">
        <v>158</v>
      </c>
      <c r="I48" s="283" t="s">
        <v>158</v>
      </c>
      <c r="J48" s="283" t="s">
        <v>158</v>
      </c>
      <c r="K48" s="283" t="s">
        <v>158</v>
      </c>
      <c r="L48" s="283" t="s">
        <v>158</v>
      </c>
      <c r="M48" s="345"/>
      <c r="N48" s="346"/>
      <c r="O48" s="346"/>
      <c r="P48" s="346"/>
      <c r="Q48" s="346"/>
      <c r="R48" s="346"/>
      <c r="S48" s="346"/>
      <c r="T48" s="347"/>
      <c r="U48" s="231" t="s">
        <v>154</v>
      </c>
      <c r="V48" s="231" t="s">
        <v>310</v>
      </c>
      <c r="W48" s="231">
        <f>IF($C48&lt;&gt;"",VLOOKUP(C48,t_GradeWeight[],2,FALSE),0)</f>
        <v>4</v>
      </c>
      <c r="X48" s="231">
        <f>IF(D48&lt;&gt;"",VLOOKUP(D48,t_GradeWeight[],2,FALSE),0)</f>
        <v>4</v>
      </c>
      <c r="Y48" s="231">
        <f>IF(E48&lt;&gt;"",VLOOKUP(E48,t_GradeWeight[],2,FALSE),0)</f>
        <v>4</v>
      </c>
      <c r="Z48" s="231">
        <f>IF(F48&lt;&gt;"",VLOOKUP(F48,t_GradeWeight[],2,FALSE),0)</f>
        <v>4</v>
      </c>
      <c r="AA48" s="231">
        <f>IF(G48&lt;&gt;"",VLOOKUP(G48,t_GradeWeight[],2,FALSE),0)</f>
        <v>4</v>
      </c>
      <c r="AB48" s="231">
        <f>IF(H48&lt;&gt;"",VLOOKUP(H48,t_GradeWeight[],2,FALSE),0)</f>
        <v>4</v>
      </c>
      <c r="AC48" s="231">
        <f>IF(I48&lt;&gt;"",VLOOKUP(I48,t_GradeWeight[],2,FALSE),0)</f>
        <v>4</v>
      </c>
      <c r="AD48" s="231">
        <f>IF(J48&lt;&gt;"",VLOOKUP(J48,t_GradeWeight[],2,FALSE),0)</f>
        <v>4</v>
      </c>
      <c r="AE48" s="231">
        <f>IF(K48&lt;&gt;"",VLOOKUP(K48,t_GradeWeight[],2,FALSE),0)</f>
        <v>4</v>
      </c>
      <c r="AF48" s="231">
        <f>IF(L48&lt;&gt;"",VLOOKUP(L48,t_GradeWeight[],2,FALSE),0)</f>
        <v>4</v>
      </c>
    </row>
    <row r="49" spans="1:32" ht="27" customHeight="1" outlineLevel="1">
      <c r="A49" s="177"/>
      <c r="B49" s="285" t="s">
        <v>549</v>
      </c>
      <c r="C49" s="283" t="s">
        <v>158</v>
      </c>
      <c r="D49" s="283" t="s">
        <v>544</v>
      </c>
      <c r="E49" s="283" t="s">
        <v>158</v>
      </c>
      <c r="F49" s="283" t="s">
        <v>158</v>
      </c>
      <c r="G49" s="283" t="s">
        <v>158</v>
      </c>
      <c r="H49" s="283" t="s">
        <v>158</v>
      </c>
      <c r="I49" s="283" t="s">
        <v>158</v>
      </c>
      <c r="J49" s="283" t="s">
        <v>158</v>
      </c>
      <c r="K49" s="283" t="s">
        <v>158</v>
      </c>
      <c r="L49" s="283" t="s">
        <v>158</v>
      </c>
      <c r="M49" s="345"/>
      <c r="N49" s="346"/>
      <c r="O49" s="346"/>
      <c r="P49" s="346"/>
      <c r="Q49" s="346"/>
      <c r="R49" s="346"/>
      <c r="S49" s="346"/>
      <c r="T49" s="347"/>
      <c r="U49" s="231" t="s">
        <v>154</v>
      </c>
      <c r="V49" s="231" t="s">
        <v>309</v>
      </c>
      <c r="W49" s="231">
        <f>IF($C49&lt;&gt;"",VLOOKUP(C49,t_GradeWeight[],2,FALSE),0)</f>
        <v>4</v>
      </c>
      <c r="X49" s="231">
        <f>IF(D49&lt;&gt;"",VLOOKUP(D49,t_GradeWeight[],2,FALSE),0)</f>
        <v>4</v>
      </c>
      <c r="Y49" s="231">
        <f>IF(E49&lt;&gt;"",VLOOKUP(E49,t_GradeWeight[],2,FALSE),0)</f>
        <v>4</v>
      </c>
      <c r="Z49" s="231">
        <f>IF(F49&lt;&gt;"",VLOOKUP(F49,t_GradeWeight[],2,FALSE),0)</f>
        <v>4</v>
      </c>
      <c r="AA49" s="231">
        <f>IF(G49&lt;&gt;"",VLOOKUP(G49,t_GradeWeight[],2,FALSE),0)</f>
        <v>4</v>
      </c>
      <c r="AB49" s="231">
        <f>IF(H49&lt;&gt;"",VLOOKUP(H49,t_GradeWeight[],2,FALSE),0)</f>
        <v>4</v>
      </c>
      <c r="AC49" s="231">
        <f>IF(I49&lt;&gt;"",VLOOKUP(I49,t_GradeWeight[],2,FALSE),0)</f>
        <v>4</v>
      </c>
      <c r="AD49" s="231">
        <f>IF(J49&lt;&gt;"",VLOOKUP(J49,t_GradeWeight[],2,FALSE),0)</f>
        <v>4</v>
      </c>
      <c r="AE49" s="231">
        <f>IF(K49&lt;&gt;"",VLOOKUP(K49,t_GradeWeight[],2,FALSE),0)</f>
        <v>4</v>
      </c>
      <c r="AF49" s="231">
        <f>IF(L49&lt;&gt;"",VLOOKUP(L49,t_GradeWeight[],2,FALSE),0)</f>
        <v>4</v>
      </c>
    </row>
    <row r="50" spans="1:32" ht="27" customHeight="1" outlineLevel="1">
      <c r="A50" s="177"/>
      <c r="B50" s="285" t="s">
        <v>559</v>
      </c>
      <c r="C50" s="283" t="s">
        <v>158</v>
      </c>
      <c r="D50" s="283" t="s">
        <v>544</v>
      </c>
      <c r="E50" s="283" t="s">
        <v>158</v>
      </c>
      <c r="F50" s="283" t="s">
        <v>158</v>
      </c>
      <c r="G50" s="283" t="s">
        <v>158</v>
      </c>
      <c r="H50" s="283" t="s">
        <v>158</v>
      </c>
      <c r="I50" s="283" t="s">
        <v>158</v>
      </c>
      <c r="J50" s="283" t="s">
        <v>158</v>
      </c>
      <c r="K50" s="283" t="s">
        <v>158</v>
      </c>
      <c r="L50" s="283" t="s">
        <v>158</v>
      </c>
      <c r="M50" s="345"/>
      <c r="N50" s="346"/>
      <c r="O50" s="346"/>
      <c r="P50" s="346"/>
      <c r="Q50" s="346"/>
      <c r="R50" s="346"/>
      <c r="S50" s="346"/>
      <c r="T50" s="347"/>
      <c r="U50" s="231" t="s">
        <v>154</v>
      </c>
      <c r="V50" s="231" t="s">
        <v>309</v>
      </c>
      <c r="W50" s="231">
        <f>IF($C50&lt;&gt;"",VLOOKUP(C50,t_GradeWeight[],2,FALSE),0)</f>
        <v>4</v>
      </c>
      <c r="X50" s="231">
        <f>IF(D50&lt;&gt;"",VLOOKUP(D50,t_GradeWeight[],2,FALSE),0)</f>
        <v>4</v>
      </c>
      <c r="Y50" s="231">
        <f>IF(E50&lt;&gt;"",VLOOKUP(E50,t_GradeWeight[],2,FALSE),0)</f>
        <v>4</v>
      </c>
      <c r="Z50" s="231">
        <f>IF(F50&lt;&gt;"",VLOOKUP(F50,t_GradeWeight[],2,FALSE),0)</f>
        <v>4</v>
      </c>
      <c r="AA50" s="231">
        <f>IF(G50&lt;&gt;"",VLOOKUP(G50,t_GradeWeight[],2,FALSE),0)</f>
        <v>4</v>
      </c>
      <c r="AB50" s="231">
        <f>IF(H50&lt;&gt;"",VLOOKUP(H50,t_GradeWeight[],2,FALSE),0)</f>
        <v>4</v>
      </c>
      <c r="AC50" s="231">
        <f>IF(I50&lt;&gt;"",VLOOKUP(I50,t_GradeWeight[],2,FALSE),0)</f>
        <v>4</v>
      </c>
      <c r="AD50" s="231">
        <f>IF(J50&lt;&gt;"",VLOOKUP(J50,t_GradeWeight[],2,FALSE),0)</f>
        <v>4</v>
      </c>
      <c r="AE50" s="231">
        <f>IF(K50&lt;&gt;"",VLOOKUP(K50,t_GradeWeight[],2,FALSE),0)</f>
        <v>4</v>
      </c>
      <c r="AF50" s="231">
        <f>IF(L50&lt;&gt;"",VLOOKUP(L50,t_GradeWeight[],2,FALSE),0)</f>
        <v>4</v>
      </c>
    </row>
    <row r="51" spans="1:32" ht="27" customHeight="1" outlineLevel="1">
      <c r="A51" s="177"/>
      <c r="B51" s="285" t="s">
        <v>387</v>
      </c>
      <c r="C51" s="283" t="s">
        <v>158</v>
      </c>
      <c r="D51" s="283" t="s">
        <v>584</v>
      </c>
      <c r="E51" s="283" t="s">
        <v>158</v>
      </c>
      <c r="F51" s="283" t="s">
        <v>158</v>
      </c>
      <c r="G51" s="283" t="s">
        <v>158</v>
      </c>
      <c r="H51" s="283" t="s">
        <v>158</v>
      </c>
      <c r="I51" s="283" t="s">
        <v>158</v>
      </c>
      <c r="J51" s="283" t="s">
        <v>158</v>
      </c>
      <c r="K51" s="283" t="s">
        <v>158</v>
      </c>
      <c r="L51" s="283" t="s">
        <v>158</v>
      </c>
      <c r="M51" s="345"/>
      <c r="N51" s="346"/>
      <c r="O51" s="346"/>
      <c r="P51" s="346"/>
      <c r="Q51" s="346"/>
      <c r="R51" s="346"/>
      <c r="S51" s="346"/>
      <c r="T51" s="347"/>
      <c r="U51" s="231" t="s">
        <v>154</v>
      </c>
      <c r="V51" s="231" t="s">
        <v>309</v>
      </c>
      <c r="W51" s="231">
        <f>IF($C51&lt;&gt;"",VLOOKUP(C51,t_GradeWeight[],2,FALSE),0)</f>
        <v>4</v>
      </c>
      <c r="X51" s="231">
        <f>IF(D51&lt;&gt;"",VLOOKUP(D51,t_GradeWeight[],2,FALSE),0)</f>
        <v>4</v>
      </c>
      <c r="Y51" s="231">
        <f>IF(E51&lt;&gt;"",VLOOKUP(E51,t_GradeWeight[],2,FALSE),0)</f>
        <v>4</v>
      </c>
      <c r="Z51" s="231">
        <f>IF(F51&lt;&gt;"",VLOOKUP(F51,t_GradeWeight[],2,FALSE),0)</f>
        <v>4</v>
      </c>
      <c r="AA51" s="231">
        <f>IF(G51&lt;&gt;"",VLOOKUP(G51,t_GradeWeight[],2,FALSE),0)</f>
        <v>4</v>
      </c>
      <c r="AB51" s="231">
        <f>IF(H51&lt;&gt;"",VLOOKUP(H51,t_GradeWeight[],2,FALSE),0)</f>
        <v>4</v>
      </c>
      <c r="AC51" s="231">
        <f>IF(I51&lt;&gt;"",VLOOKUP(I51,t_GradeWeight[],2,FALSE),0)</f>
        <v>4</v>
      </c>
      <c r="AD51" s="231">
        <f>IF(J51&lt;&gt;"",VLOOKUP(J51,t_GradeWeight[],2,FALSE),0)</f>
        <v>4</v>
      </c>
      <c r="AE51" s="231">
        <f>IF(K51&lt;&gt;"",VLOOKUP(K51,t_GradeWeight[],2,FALSE),0)</f>
        <v>4</v>
      </c>
      <c r="AF51" s="231">
        <f>IF(L51&lt;&gt;"",VLOOKUP(L51,t_GradeWeight[],2,FALSE),0)</f>
        <v>4</v>
      </c>
    </row>
    <row r="52" spans="1:32" ht="27" customHeight="1" outlineLevel="1">
      <c r="A52" s="177"/>
      <c r="B52" s="285" t="s">
        <v>401</v>
      </c>
      <c r="C52" s="283" t="s">
        <v>158</v>
      </c>
      <c r="D52" s="283" t="s">
        <v>544</v>
      </c>
      <c r="E52" s="283" t="s">
        <v>158</v>
      </c>
      <c r="F52" s="283" t="s">
        <v>158</v>
      </c>
      <c r="G52" s="283" t="s">
        <v>158</v>
      </c>
      <c r="H52" s="283" t="s">
        <v>158</v>
      </c>
      <c r="I52" s="283" t="s">
        <v>158</v>
      </c>
      <c r="J52" s="283" t="s">
        <v>158</v>
      </c>
      <c r="K52" s="283" t="s">
        <v>158</v>
      </c>
      <c r="L52" s="283" t="s">
        <v>158</v>
      </c>
      <c r="M52" s="345"/>
      <c r="N52" s="346"/>
      <c r="O52" s="346"/>
      <c r="P52" s="346"/>
      <c r="Q52" s="346"/>
      <c r="R52" s="346"/>
      <c r="S52" s="346"/>
      <c r="T52" s="347"/>
      <c r="U52" s="231" t="s">
        <v>154</v>
      </c>
      <c r="V52" s="231" t="s">
        <v>309</v>
      </c>
      <c r="W52" s="231">
        <f>IF($C52&lt;&gt;"",VLOOKUP(C52,t_GradeWeight[],2,FALSE),0)</f>
        <v>4</v>
      </c>
      <c r="X52" s="231">
        <f>IF(D52&lt;&gt;"",VLOOKUP(D52,t_GradeWeight[],2,FALSE),0)</f>
        <v>4</v>
      </c>
      <c r="Y52" s="231">
        <f>IF(E52&lt;&gt;"",VLOOKUP(E52,t_GradeWeight[],2,FALSE),0)</f>
        <v>4</v>
      </c>
      <c r="Z52" s="231">
        <f>IF(F52&lt;&gt;"",VLOOKUP(F52,t_GradeWeight[],2,FALSE),0)</f>
        <v>4</v>
      </c>
      <c r="AA52" s="231">
        <f>IF(G52&lt;&gt;"",VLOOKUP(G52,t_GradeWeight[],2,FALSE),0)</f>
        <v>4</v>
      </c>
      <c r="AB52" s="231">
        <f>IF(H52&lt;&gt;"",VLOOKUP(H52,t_GradeWeight[],2,FALSE),0)</f>
        <v>4</v>
      </c>
      <c r="AC52" s="231">
        <f>IF(I52&lt;&gt;"",VLOOKUP(I52,t_GradeWeight[],2,FALSE),0)</f>
        <v>4</v>
      </c>
      <c r="AD52" s="231">
        <f>IF(J52&lt;&gt;"",VLOOKUP(J52,t_GradeWeight[],2,FALSE),0)</f>
        <v>4</v>
      </c>
      <c r="AE52" s="231">
        <f>IF(K52&lt;&gt;"",VLOOKUP(K52,t_GradeWeight[],2,FALSE),0)</f>
        <v>4</v>
      </c>
      <c r="AF52" s="231">
        <f>IF(L52&lt;&gt;"",VLOOKUP(L52,t_GradeWeight[],2,FALSE),0)</f>
        <v>4</v>
      </c>
    </row>
    <row r="53" spans="1:32" ht="27" customHeight="1" outlineLevel="1">
      <c r="A53" s="177"/>
      <c r="B53" s="285" t="s">
        <v>560</v>
      </c>
      <c r="C53" s="283" t="s">
        <v>158</v>
      </c>
      <c r="D53" s="283" t="s">
        <v>544</v>
      </c>
      <c r="E53" s="283" t="s">
        <v>158</v>
      </c>
      <c r="F53" s="283" t="s">
        <v>158</v>
      </c>
      <c r="G53" s="283" t="s">
        <v>158</v>
      </c>
      <c r="H53" s="283" t="s">
        <v>158</v>
      </c>
      <c r="I53" s="283" t="s">
        <v>158</v>
      </c>
      <c r="J53" s="283" t="s">
        <v>158</v>
      </c>
      <c r="K53" s="283" t="s">
        <v>158</v>
      </c>
      <c r="L53" s="283" t="s">
        <v>158</v>
      </c>
      <c r="M53" s="345"/>
      <c r="N53" s="346"/>
      <c r="O53" s="346"/>
      <c r="P53" s="346"/>
      <c r="Q53" s="346"/>
      <c r="R53" s="346"/>
      <c r="S53" s="346"/>
      <c r="T53" s="347"/>
      <c r="U53" s="231" t="s">
        <v>154</v>
      </c>
      <c r="V53" s="231" t="s">
        <v>312</v>
      </c>
      <c r="W53" s="231">
        <f>IF($C53&lt;&gt;"",VLOOKUP(C53,t_GradeWeight[],2,FALSE),0)</f>
        <v>4</v>
      </c>
      <c r="X53" s="231">
        <f>IF(D53&lt;&gt;"",VLOOKUP(D53,t_GradeWeight[],2,FALSE),0)</f>
        <v>4</v>
      </c>
      <c r="Y53" s="231">
        <f>IF(E53&lt;&gt;"",VLOOKUP(E53,t_GradeWeight[],2,FALSE),0)</f>
        <v>4</v>
      </c>
      <c r="Z53" s="231">
        <f>IF(F53&lt;&gt;"",VLOOKUP(F53,t_GradeWeight[],2,FALSE),0)</f>
        <v>4</v>
      </c>
      <c r="AA53" s="231">
        <f>IF(G53&lt;&gt;"",VLOOKUP(G53,t_GradeWeight[],2,FALSE),0)</f>
        <v>4</v>
      </c>
      <c r="AB53" s="231">
        <f>IF(H53&lt;&gt;"",VLOOKUP(H53,t_GradeWeight[],2,FALSE),0)</f>
        <v>4</v>
      </c>
      <c r="AC53" s="231">
        <f>IF(I53&lt;&gt;"",VLOOKUP(I53,t_GradeWeight[],2,FALSE),0)</f>
        <v>4</v>
      </c>
      <c r="AD53" s="231">
        <f>IF(J53&lt;&gt;"",VLOOKUP(J53,t_GradeWeight[],2,FALSE),0)</f>
        <v>4</v>
      </c>
      <c r="AE53" s="231">
        <f>IF(K53&lt;&gt;"",VLOOKUP(K53,t_GradeWeight[],2,FALSE),0)</f>
        <v>4</v>
      </c>
      <c r="AF53" s="231">
        <f>IF(L53&lt;&gt;"",VLOOKUP(L53,t_GradeWeight[],2,FALSE),0)</f>
        <v>4</v>
      </c>
    </row>
    <row r="54" spans="1:32" ht="27" customHeight="1" outlineLevel="1">
      <c r="A54" s="177"/>
      <c r="B54" s="285" t="s">
        <v>519</v>
      </c>
      <c r="C54" s="283" t="s">
        <v>158</v>
      </c>
      <c r="D54" s="283" t="s">
        <v>544</v>
      </c>
      <c r="E54" s="283" t="s">
        <v>158</v>
      </c>
      <c r="F54" s="283" t="s">
        <v>158</v>
      </c>
      <c r="G54" s="283" t="s">
        <v>158</v>
      </c>
      <c r="H54" s="283" t="s">
        <v>158</v>
      </c>
      <c r="I54" s="283" t="s">
        <v>158</v>
      </c>
      <c r="J54" s="283" t="s">
        <v>158</v>
      </c>
      <c r="K54" s="283" t="s">
        <v>158</v>
      </c>
      <c r="L54" s="283" t="s">
        <v>158</v>
      </c>
      <c r="M54" s="345"/>
      <c r="N54" s="346"/>
      <c r="O54" s="346"/>
      <c r="P54" s="346"/>
      <c r="Q54" s="346"/>
      <c r="R54" s="346"/>
      <c r="S54" s="346"/>
      <c r="T54" s="347"/>
      <c r="U54" s="231" t="s">
        <v>154</v>
      </c>
      <c r="V54" s="231" t="s">
        <v>310</v>
      </c>
      <c r="W54" s="231">
        <f>IF($C54&lt;&gt;"",VLOOKUP(C54,t_GradeWeight[],2,FALSE),0)</f>
        <v>4</v>
      </c>
      <c r="X54" s="231">
        <f>IF(D54&lt;&gt;"",VLOOKUP(D54,t_GradeWeight[],2,FALSE),0)</f>
        <v>4</v>
      </c>
      <c r="Y54" s="231">
        <f>IF(E54&lt;&gt;"",VLOOKUP(E54,t_GradeWeight[],2,FALSE),0)</f>
        <v>4</v>
      </c>
      <c r="Z54" s="231">
        <f>IF(F54&lt;&gt;"",VLOOKUP(F54,t_GradeWeight[],2,FALSE),0)</f>
        <v>4</v>
      </c>
      <c r="AA54" s="231">
        <f>IF(G54&lt;&gt;"",VLOOKUP(G54,t_GradeWeight[],2,FALSE),0)</f>
        <v>4</v>
      </c>
      <c r="AB54" s="231">
        <f>IF(H54&lt;&gt;"",VLOOKUP(H54,t_GradeWeight[],2,FALSE),0)</f>
        <v>4</v>
      </c>
      <c r="AC54" s="231">
        <f>IF(I54&lt;&gt;"",VLOOKUP(I54,t_GradeWeight[],2,FALSE),0)</f>
        <v>4</v>
      </c>
      <c r="AD54" s="231">
        <f>IF(J54&lt;&gt;"",VLOOKUP(J54,t_GradeWeight[],2,FALSE),0)</f>
        <v>4</v>
      </c>
      <c r="AE54" s="231">
        <f>IF(K54&lt;&gt;"",VLOOKUP(K54,t_GradeWeight[],2,FALSE),0)</f>
        <v>4</v>
      </c>
      <c r="AF54" s="231">
        <f>IF(L54&lt;&gt;"",VLOOKUP(L54,t_GradeWeight[],2,FALSE),0)</f>
        <v>4</v>
      </c>
    </row>
    <row r="55" spans="1:32">
      <c r="A55" s="177"/>
      <c r="B55" s="218" t="s">
        <v>155</v>
      </c>
      <c r="C55" s="224">
        <v>1</v>
      </c>
      <c r="D55" s="224">
        <v>2</v>
      </c>
      <c r="E55" s="224">
        <v>3</v>
      </c>
      <c r="F55" s="224">
        <v>4</v>
      </c>
      <c r="G55" s="224">
        <v>5</v>
      </c>
      <c r="H55" s="224">
        <v>6</v>
      </c>
      <c r="I55" s="224">
        <v>7</v>
      </c>
      <c r="J55" s="224">
        <v>8</v>
      </c>
      <c r="K55" s="224">
        <v>9</v>
      </c>
      <c r="L55" s="224">
        <v>10</v>
      </c>
      <c r="M55" s="333" t="s">
        <v>389</v>
      </c>
      <c r="N55" s="334"/>
      <c r="O55" s="334"/>
      <c r="P55" s="334"/>
      <c r="Q55" s="334"/>
      <c r="R55" s="334"/>
      <c r="S55" s="334"/>
      <c r="T55" s="335"/>
      <c r="U55" s="232"/>
      <c r="V55" s="233"/>
      <c r="W55" s="233"/>
      <c r="X55" s="233"/>
      <c r="Y55" s="233"/>
      <c r="Z55" s="233"/>
      <c r="AA55" s="233"/>
      <c r="AB55" s="233"/>
      <c r="AC55" s="233"/>
      <c r="AD55" s="233"/>
      <c r="AE55" s="233"/>
      <c r="AF55" s="233"/>
    </row>
    <row r="56" spans="1:32" s="227" customFormat="1" ht="27" customHeight="1" outlineLevel="1">
      <c r="A56" s="226"/>
      <c r="B56" s="285" t="s">
        <v>577</v>
      </c>
      <c r="C56" s="283" t="s">
        <v>158</v>
      </c>
      <c r="D56" s="283" t="s">
        <v>544</v>
      </c>
      <c r="E56" s="283" t="s">
        <v>158</v>
      </c>
      <c r="F56" s="283" t="s">
        <v>158</v>
      </c>
      <c r="G56" s="283" t="s">
        <v>158</v>
      </c>
      <c r="H56" s="283" t="s">
        <v>158</v>
      </c>
      <c r="I56" s="283" t="s">
        <v>158</v>
      </c>
      <c r="J56" s="283" t="s">
        <v>158</v>
      </c>
      <c r="K56" s="283" t="s">
        <v>158</v>
      </c>
      <c r="L56" s="283" t="s">
        <v>158</v>
      </c>
      <c r="M56" s="345"/>
      <c r="N56" s="346"/>
      <c r="O56" s="346"/>
      <c r="P56" s="346"/>
      <c r="Q56" s="346"/>
      <c r="R56" s="346"/>
      <c r="S56" s="346"/>
      <c r="T56" s="347"/>
      <c r="U56" s="231" t="s">
        <v>155</v>
      </c>
      <c r="V56" s="231" t="s">
        <v>309</v>
      </c>
      <c r="W56" s="231">
        <f>IF(C56&lt;&gt;"",VLOOKUP(C56,t_GradeWeight[],2,FALSE),0)</f>
        <v>4</v>
      </c>
      <c r="X56" s="231">
        <f>IF(D56&lt;&gt;"",VLOOKUP(D56,t_GradeWeight[],2,FALSE),0)</f>
        <v>4</v>
      </c>
      <c r="Y56" s="231">
        <f>IF(E56&lt;&gt;"",VLOOKUP(E56,t_GradeWeight[],2,FALSE),0)</f>
        <v>4</v>
      </c>
      <c r="Z56" s="231">
        <f>IF(F56&lt;&gt;"",VLOOKUP(F56,t_GradeWeight[],2,FALSE),0)</f>
        <v>4</v>
      </c>
      <c r="AA56" s="231">
        <f>IF(G56&lt;&gt;"",VLOOKUP(G56,t_GradeWeight[],2,FALSE),0)</f>
        <v>4</v>
      </c>
      <c r="AB56" s="231">
        <f>IF(H56&lt;&gt;"",VLOOKUP(H56,t_GradeWeight[],2,FALSE),0)</f>
        <v>4</v>
      </c>
      <c r="AC56" s="231">
        <f>IF(I56&lt;&gt;"",VLOOKUP(I56,t_GradeWeight[],2,FALSE),0)</f>
        <v>4</v>
      </c>
      <c r="AD56" s="231">
        <f>IF(J56&lt;&gt;"",VLOOKUP(J56,t_GradeWeight[],2,FALSE),0)</f>
        <v>4</v>
      </c>
      <c r="AE56" s="231">
        <f>IF(K56&lt;&gt;"",VLOOKUP(K56,t_GradeWeight[],2,FALSE),0)</f>
        <v>4</v>
      </c>
      <c r="AF56" s="231">
        <f>IF(L56&lt;&gt;"",VLOOKUP(L56,t_GradeWeight[],2,FALSE),0)</f>
        <v>4</v>
      </c>
    </row>
    <row r="57" spans="1:32" s="227" customFormat="1" ht="27" customHeight="1" outlineLevel="1">
      <c r="A57" s="226"/>
      <c r="B57" s="285" t="s">
        <v>390</v>
      </c>
      <c r="C57" s="283" t="s">
        <v>158</v>
      </c>
      <c r="D57" s="283" t="s">
        <v>544</v>
      </c>
      <c r="E57" s="283" t="s">
        <v>158</v>
      </c>
      <c r="F57" s="283" t="s">
        <v>158</v>
      </c>
      <c r="G57" s="283" t="s">
        <v>158</v>
      </c>
      <c r="H57" s="283" t="s">
        <v>158</v>
      </c>
      <c r="I57" s="283" t="s">
        <v>158</v>
      </c>
      <c r="J57" s="283" t="s">
        <v>158</v>
      </c>
      <c r="K57" s="283" t="s">
        <v>158</v>
      </c>
      <c r="L57" s="283" t="s">
        <v>158</v>
      </c>
      <c r="M57" s="345"/>
      <c r="N57" s="346"/>
      <c r="O57" s="346"/>
      <c r="P57" s="346"/>
      <c r="Q57" s="346"/>
      <c r="R57" s="346"/>
      <c r="S57" s="346"/>
      <c r="T57" s="347"/>
      <c r="U57" s="231" t="s">
        <v>155</v>
      </c>
      <c r="V57" s="231" t="s">
        <v>309</v>
      </c>
      <c r="W57" s="231">
        <f>IF(C57&lt;&gt;"",VLOOKUP(C57,t_GradeWeight[],2,FALSE),0)</f>
        <v>4</v>
      </c>
      <c r="X57" s="231">
        <f>IF(D57&lt;&gt;"",VLOOKUP(D57,t_GradeWeight[],2,FALSE),0)</f>
        <v>4</v>
      </c>
      <c r="Y57" s="231">
        <f>IF(E57&lt;&gt;"",VLOOKUP(E57,t_GradeWeight[],2,FALSE),0)</f>
        <v>4</v>
      </c>
      <c r="Z57" s="231">
        <f>IF(F57&lt;&gt;"",VLOOKUP(F57,t_GradeWeight[],2,FALSE),0)</f>
        <v>4</v>
      </c>
      <c r="AA57" s="231">
        <f>IF(G57&lt;&gt;"",VLOOKUP(G57,t_GradeWeight[],2,FALSE),0)</f>
        <v>4</v>
      </c>
      <c r="AB57" s="231">
        <f>IF(H57&lt;&gt;"",VLOOKUP(H57,t_GradeWeight[],2,FALSE),0)</f>
        <v>4</v>
      </c>
      <c r="AC57" s="231">
        <f>IF(I57&lt;&gt;"",VLOOKUP(I57,t_GradeWeight[],2,FALSE),0)</f>
        <v>4</v>
      </c>
      <c r="AD57" s="231">
        <f>IF(J57&lt;&gt;"",VLOOKUP(J57,t_GradeWeight[],2,FALSE),0)</f>
        <v>4</v>
      </c>
      <c r="AE57" s="231">
        <f>IF(K57&lt;&gt;"",VLOOKUP(K57,t_GradeWeight[],2,FALSE),0)</f>
        <v>4</v>
      </c>
      <c r="AF57" s="231">
        <f>IF(L57&lt;&gt;"",VLOOKUP(L57,t_GradeWeight[],2,FALSE),0)</f>
        <v>4</v>
      </c>
    </row>
    <row r="58" spans="1:32" s="227" customFormat="1" ht="27" customHeight="1" outlineLevel="1">
      <c r="A58" s="226"/>
      <c r="B58" s="491" t="s">
        <v>548</v>
      </c>
      <c r="C58" s="283" t="s">
        <v>158</v>
      </c>
      <c r="D58" s="283" t="s">
        <v>544</v>
      </c>
      <c r="E58" s="283" t="s">
        <v>158</v>
      </c>
      <c r="F58" s="283" t="s">
        <v>158</v>
      </c>
      <c r="G58" s="283" t="s">
        <v>158</v>
      </c>
      <c r="H58" s="283" t="s">
        <v>158</v>
      </c>
      <c r="I58" s="283" t="s">
        <v>158</v>
      </c>
      <c r="J58" s="283" t="s">
        <v>158</v>
      </c>
      <c r="K58" s="283" t="s">
        <v>158</v>
      </c>
      <c r="L58" s="283" t="s">
        <v>158</v>
      </c>
      <c r="M58" s="345"/>
      <c r="N58" s="346"/>
      <c r="O58" s="346"/>
      <c r="P58" s="346"/>
      <c r="Q58" s="346"/>
      <c r="R58" s="346"/>
      <c r="S58" s="346"/>
      <c r="T58" s="347"/>
      <c r="U58" s="231" t="s">
        <v>155</v>
      </c>
      <c r="V58" s="231" t="s">
        <v>309</v>
      </c>
      <c r="W58" s="231">
        <f>IF(C58&lt;&gt;"",VLOOKUP(C58,t_GradeWeight[],2,FALSE),0)</f>
        <v>4</v>
      </c>
      <c r="X58" s="231">
        <f>IF(D58&lt;&gt;"",VLOOKUP(D58,t_GradeWeight[],2,FALSE),0)</f>
        <v>4</v>
      </c>
      <c r="Y58" s="231">
        <f>IF(E58&lt;&gt;"",VLOOKUP(E58,t_GradeWeight[],2,FALSE),0)</f>
        <v>4</v>
      </c>
      <c r="Z58" s="231">
        <f>IF(F58&lt;&gt;"",VLOOKUP(F58,t_GradeWeight[],2,FALSE),0)</f>
        <v>4</v>
      </c>
      <c r="AA58" s="231">
        <f>IF(G58&lt;&gt;"",VLOOKUP(G58,t_GradeWeight[],2,FALSE),0)</f>
        <v>4</v>
      </c>
      <c r="AB58" s="231">
        <f>IF(H58&lt;&gt;"",VLOOKUP(H58,t_GradeWeight[],2,FALSE),0)</f>
        <v>4</v>
      </c>
      <c r="AC58" s="231">
        <f>IF(I58&lt;&gt;"",VLOOKUP(I58,t_GradeWeight[],2,FALSE),0)</f>
        <v>4</v>
      </c>
      <c r="AD58" s="231">
        <f>IF(J58&lt;&gt;"",VLOOKUP(J58,t_GradeWeight[],2,FALSE),0)</f>
        <v>4</v>
      </c>
      <c r="AE58" s="231">
        <f>IF(K58&lt;&gt;"",VLOOKUP(K58,t_GradeWeight[],2,FALSE),0)</f>
        <v>4</v>
      </c>
      <c r="AF58" s="231">
        <f>IF(L58&lt;&gt;"",VLOOKUP(L58,t_GradeWeight[],2,FALSE),0)</f>
        <v>4</v>
      </c>
    </row>
    <row r="59" spans="1:32" s="227" customFormat="1" ht="27" customHeight="1" outlineLevel="1">
      <c r="A59" s="226"/>
      <c r="B59" s="285" t="s">
        <v>568</v>
      </c>
      <c r="C59" s="283" t="s">
        <v>158</v>
      </c>
      <c r="D59" s="283" t="s">
        <v>544</v>
      </c>
      <c r="E59" s="283" t="s">
        <v>158</v>
      </c>
      <c r="F59" s="283" t="s">
        <v>158</v>
      </c>
      <c r="G59" s="283" t="s">
        <v>158</v>
      </c>
      <c r="H59" s="283" t="s">
        <v>158</v>
      </c>
      <c r="I59" s="283" t="s">
        <v>158</v>
      </c>
      <c r="J59" s="283" t="s">
        <v>158</v>
      </c>
      <c r="K59" s="283" t="s">
        <v>158</v>
      </c>
      <c r="L59" s="283" t="s">
        <v>158</v>
      </c>
      <c r="M59" s="345"/>
      <c r="N59" s="346"/>
      <c r="O59" s="346"/>
      <c r="P59" s="346"/>
      <c r="Q59" s="346"/>
      <c r="R59" s="346"/>
      <c r="S59" s="346"/>
      <c r="T59" s="347"/>
      <c r="U59" s="231" t="s">
        <v>155</v>
      </c>
      <c r="V59" s="231" t="s">
        <v>309</v>
      </c>
      <c r="W59" s="231">
        <f>IF(C59&lt;&gt;"",VLOOKUP(C59,t_GradeWeight[],2,FALSE),0)</f>
        <v>4</v>
      </c>
      <c r="X59" s="231">
        <f>IF(D59&lt;&gt;"",VLOOKUP(D59,t_GradeWeight[],2,FALSE),0)</f>
        <v>4</v>
      </c>
      <c r="Y59" s="231">
        <f>IF(E59&lt;&gt;"",VLOOKUP(E59,t_GradeWeight[],2,FALSE),0)</f>
        <v>4</v>
      </c>
      <c r="Z59" s="231">
        <f>IF(F59&lt;&gt;"",VLOOKUP(F59,t_GradeWeight[],2,FALSE),0)</f>
        <v>4</v>
      </c>
      <c r="AA59" s="231">
        <f>IF(G59&lt;&gt;"",VLOOKUP(G59,t_GradeWeight[],2,FALSE),0)</f>
        <v>4</v>
      </c>
      <c r="AB59" s="231">
        <f>IF(H59&lt;&gt;"",VLOOKUP(H59,t_GradeWeight[],2,FALSE),0)</f>
        <v>4</v>
      </c>
      <c r="AC59" s="231">
        <f>IF(I59&lt;&gt;"",VLOOKUP(I59,t_GradeWeight[],2,FALSE),0)</f>
        <v>4</v>
      </c>
      <c r="AD59" s="231">
        <f>IF(J59&lt;&gt;"",VLOOKUP(J59,t_GradeWeight[],2,FALSE),0)</f>
        <v>4</v>
      </c>
      <c r="AE59" s="231">
        <f>IF(K59&lt;&gt;"",VLOOKUP(K59,t_GradeWeight[],2,FALSE),0)</f>
        <v>4</v>
      </c>
      <c r="AF59" s="231">
        <f>IF(L59&lt;&gt;"",VLOOKUP(L59,t_GradeWeight[],2,FALSE),0)</f>
        <v>4</v>
      </c>
    </row>
    <row r="60" spans="1:32">
      <c r="A60" s="177"/>
      <c r="B60" s="218" t="s">
        <v>175</v>
      </c>
      <c r="C60" s="224">
        <v>1</v>
      </c>
      <c r="D60" s="224">
        <v>2</v>
      </c>
      <c r="E60" s="224">
        <v>3</v>
      </c>
      <c r="F60" s="224">
        <v>4</v>
      </c>
      <c r="G60" s="224">
        <v>5</v>
      </c>
      <c r="H60" s="224">
        <v>6</v>
      </c>
      <c r="I60" s="224">
        <v>7</v>
      </c>
      <c r="J60" s="224">
        <v>8</v>
      </c>
      <c r="K60" s="224">
        <v>9</v>
      </c>
      <c r="L60" s="224">
        <v>10</v>
      </c>
      <c r="M60" s="330" t="s">
        <v>389</v>
      </c>
      <c r="N60" s="331"/>
      <c r="O60" s="331"/>
      <c r="P60" s="331"/>
      <c r="Q60" s="331"/>
      <c r="R60" s="331"/>
      <c r="S60" s="331"/>
      <c r="T60" s="332"/>
      <c r="U60" s="232"/>
      <c r="V60" s="233"/>
      <c r="W60" s="233"/>
      <c r="X60" s="233"/>
      <c r="Y60" s="233"/>
      <c r="Z60" s="233"/>
      <c r="AA60" s="233"/>
      <c r="AB60" s="233"/>
      <c r="AC60" s="233"/>
      <c r="AD60" s="233"/>
      <c r="AE60" s="233"/>
      <c r="AF60" s="233"/>
    </row>
    <row r="61" spans="1:32" ht="27" customHeight="1" outlineLevel="1">
      <c r="A61" s="177"/>
      <c r="B61" s="285" t="s">
        <v>407</v>
      </c>
      <c r="C61" s="283" t="s">
        <v>158</v>
      </c>
      <c r="D61" s="283" t="s">
        <v>544</v>
      </c>
      <c r="E61" s="283" t="s">
        <v>158</v>
      </c>
      <c r="F61" s="283" t="s">
        <v>158</v>
      </c>
      <c r="G61" s="283" t="s">
        <v>158</v>
      </c>
      <c r="H61" s="283" t="s">
        <v>158</v>
      </c>
      <c r="I61" s="283" t="s">
        <v>158</v>
      </c>
      <c r="J61" s="283" t="s">
        <v>158</v>
      </c>
      <c r="K61" s="283" t="s">
        <v>158</v>
      </c>
      <c r="L61" s="283" t="s">
        <v>158</v>
      </c>
      <c r="M61" s="345"/>
      <c r="N61" s="346"/>
      <c r="O61" s="346"/>
      <c r="P61" s="346"/>
      <c r="Q61" s="346"/>
      <c r="R61" s="346"/>
      <c r="S61" s="346"/>
      <c r="T61" s="347"/>
      <c r="U61" s="231" t="s">
        <v>175</v>
      </c>
      <c r="V61" s="231" t="s">
        <v>323</v>
      </c>
      <c r="W61" s="231">
        <f>IF(C61&lt;&gt;"",VLOOKUP(C61,t_GradeWeight[],2,FALSE),0)</f>
        <v>4</v>
      </c>
      <c r="X61" s="231">
        <f>IF(D61&lt;&gt;"",VLOOKUP(D61,t_GradeWeight[],2,FALSE),0)</f>
        <v>4</v>
      </c>
      <c r="Y61" s="231">
        <f>IF(E61&lt;&gt;"",VLOOKUP(E61,t_GradeWeight[],2,FALSE),0)</f>
        <v>4</v>
      </c>
      <c r="Z61" s="231">
        <f>IF(F61&lt;&gt;"",VLOOKUP(F61,t_GradeWeight[],2,FALSE),0)</f>
        <v>4</v>
      </c>
      <c r="AA61" s="231">
        <f>IF(G61&lt;&gt;"",VLOOKUP(G61,t_GradeWeight[],2,FALSE),0)</f>
        <v>4</v>
      </c>
      <c r="AB61" s="231">
        <f>IF(H61&lt;&gt;"",VLOOKUP(H61,t_GradeWeight[],2,FALSE),0)</f>
        <v>4</v>
      </c>
      <c r="AC61" s="231">
        <f>IF(I61&lt;&gt;"",VLOOKUP(I61,t_GradeWeight[],2,FALSE),0)</f>
        <v>4</v>
      </c>
      <c r="AD61" s="231">
        <f>IF(J61&lt;&gt;"",VLOOKUP(J61,t_GradeWeight[],2,FALSE),0)</f>
        <v>4</v>
      </c>
      <c r="AE61" s="231">
        <f>IF(K61&lt;&gt;"",VLOOKUP(K61,t_GradeWeight[],2,FALSE),0)</f>
        <v>4</v>
      </c>
      <c r="AF61" s="231">
        <f>IF(L61&lt;&gt;"",VLOOKUP(L61,t_GradeWeight[],2,FALSE),0)</f>
        <v>4</v>
      </c>
    </row>
    <row r="62" spans="1:32" ht="27" customHeight="1" outlineLevel="1">
      <c r="A62" s="177"/>
      <c r="B62" s="285" t="s">
        <v>406</v>
      </c>
      <c r="C62" s="283" t="s">
        <v>158</v>
      </c>
      <c r="D62" s="283" t="s">
        <v>546</v>
      </c>
      <c r="E62" s="283" t="s">
        <v>158</v>
      </c>
      <c r="F62" s="283" t="s">
        <v>158</v>
      </c>
      <c r="G62" s="283" t="s">
        <v>158</v>
      </c>
      <c r="H62" s="283" t="s">
        <v>158</v>
      </c>
      <c r="I62" s="283" t="s">
        <v>158</v>
      </c>
      <c r="J62" s="283" t="s">
        <v>158</v>
      </c>
      <c r="K62" s="283" t="s">
        <v>158</v>
      </c>
      <c r="L62" s="283" t="s">
        <v>158</v>
      </c>
      <c r="M62" s="345"/>
      <c r="N62" s="346"/>
      <c r="O62" s="346"/>
      <c r="P62" s="346"/>
      <c r="Q62" s="346"/>
      <c r="R62" s="346"/>
      <c r="S62" s="346"/>
      <c r="T62" s="347"/>
      <c r="U62" s="231" t="s">
        <v>175</v>
      </c>
      <c r="V62" s="231" t="s">
        <v>312</v>
      </c>
      <c r="W62" s="231">
        <f>IF($C62&lt;&gt;"",VLOOKUP(C62,t_GradeWeight[],2,FALSE),0)</f>
        <v>4</v>
      </c>
      <c r="X62" s="231">
        <f>IF(D62&lt;&gt;"",VLOOKUP(D62,t_GradeWeight[],2,FALSE),0)</f>
        <v>4</v>
      </c>
      <c r="Y62" s="231">
        <f>IF(E62&lt;&gt;"",VLOOKUP(E62,t_GradeWeight[],2,FALSE),0)</f>
        <v>4</v>
      </c>
      <c r="Z62" s="231">
        <f>IF(F62&lt;&gt;"",VLOOKUP(F62,t_GradeWeight[],2,FALSE),0)</f>
        <v>4</v>
      </c>
      <c r="AA62" s="231">
        <f>IF(G62&lt;&gt;"",VLOOKUP(G62,t_GradeWeight[],2,FALSE),0)</f>
        <v>4</v>
      </c>
      <c r="AB62" s="231">
        <f>IF(H62&lt;&gt;"",VLOOKUP(H62,t_GradeWeight[],2,FALSE),0)</f>
        <v>4</v>
      </c>
      <c r="AC62" s="231">
        <f>IF(I62&lt;&gt;"",VLOOKUP(I62,t_GradeWeight[],2,FALSE),0)</f>
        <v>4</v>
      </c>
      <c r="AD62" s="231">
        <f>IF(J62&lt;&gt;"",VLOOKUP(J62,t_GradeWeight[],2,FALSE),0)</f>
        <v>4</v>
      </c>
      <c r="AE62" s="231">
        <f>IF(K62&lt;&gt;"",VLOOKUP(K62,t_GradeWeight[],2,FALSE),0)</f>
        <v>4</v>
      </c>
      <c r="AF62" s="231">
        <f>IF(L62&lt;&gt;"",VLOOKUP(L62,t_GradeWeight[],2,FALSE),0)</f>
        <v>4</v>
      </c>
    </row>
    <row r="63" spans="1:32" s="191" customFormat="1" ht="27" customHeight="1" outlineLevel="1">
      <c r="A63" s="177"/>
      <c r="B63" s="285" t="s">
        <v>572</v>
      </c>
      <c r="C63" s="283" t="s">
        <v>158</v>
      </c>
      <c r="D63" s="283" t="s">
        <v>544</v>
      </c>
      <c r="E63" s="283" t="s">
        <v>158</v>
      </c>
      <c r="F63" s="283" t="s">
        <v>158</v>
      </c>
      <c r="G63" s="283" t="s">
        <v>158</v>
      </c>
      <c r="H63" s="283" t="s">
        <v>158</v>
      </c>
      <c r="I63" s="283" t="s">
        <v>158</v>
      </c>
      <c r="J63" s="283" t="s">
        <v>158</v>
      </c>
      <c r="K63" s="283" t="s">
        <v>158</v>
      </c>
      <c r="L63" s="283" t="s">
        <v>158</v>
      </c>
      <c r="M63" s="345"/>
      <c r="N63" s="346"/>
      <c r="O63" s="346"/>
      <c r="P63" s="346"/>
      <c r="Q63" s="346"/>
      <c r="R63" s="346"/>
      <c r="S63" s="346"/>
      <c r="T63" s="347"/>
      <c r="U63" s="231" t="s">
        <v>175</v>
      </c>
      <c r="V63" s="231" t="s">
        <v>314</v>
      </c>
      <c r="W63" s="231">
        <f>IF($C63&lt;&gt;"",VLOOKUP(C63,t_GradeWeight[],2,FALSE),0)</f>
        <v>4</v>
      </c>
      <c r="X63" s="231">
        <f>IF(D63&lt;&gt;"",VLOOKUP(D63,t_GradeWeight[],2,FALSE),0)</f>
        <v>4</v>
      </c>
      <c r="Y63" s="231">
        <f>IF(E63&lt;&gt;"",VLOOKUP(E63,t_GradeWeight[],2,FALSE),0)</f>
        <v>4</v>
      </c>
      <c r="Z63" s="231">
        <f>IF(F63&lt;&gt;"",VLOOKUP(F63,t_GradeWeight[],2,FALSE),0)</f>
        <v>4</v>
      </c>
      <c r="AA63" s="231">
        <f>IF(G63&lt;&gt;"",VLOOKUP(G63,t_GradeWeight[],2,FALSE),0)</f>
        <v>4</v>
      </c>
      <c r="AB63" s="231">
        <f>IF(H63&lt;&gt;"",VLOOKUP(H63,t_GradeWeight[],2,FALSE),0)</f>
        <v>4</v>
      </c>
      <c r="AC63" s="231">
        <f>IF(I63&lt;&gt;"",VLOOKUP(I63,t_GradeWeight[],2,FALSE),0)</f>
        <v>4</v>
      </c>
      <c r="AD63" s="231">
        <f>IF(J63&lt;&gt;"",VLOOKUP(J63,t_GradeWeight[],2,FALSE),0)</f>
        <v>4</v>
      </c>
      <c r="AE63" s="231">
        <f>IF(K63&lt;&gt;"",VLOOKUP(K63,t_GradeWeight[],2,FALSE),0)</f>
        <v>4</v>
      </c>
      <c r="AF63" s="231">
        <f>IF(L63&lt;&gt;"",VLOOKUP(L63,t_GradeWeight[],2,FALSE),0)</f>
        <v>4</v>
      </c>
    </row>
    <row r="64" spans="1:32" ht="27" customHeight="1" outlineLevel="1">
      <c r="A64" s="177"/>
      <c r="B64" s="285" t="s">
        <v>520</v>
      </c>
      <c r="C64" s="283" t="s">
        <v>158</v>
      </c>
      <c r="D64" s="283" t="s">
        <v>546</v>
      </c>
      <c r="E64" s="283" t="s">
        <v>158</v>
      </c>
      <c r="F64" s="283" t="s">
        <v>158</v>
      </c>
      <c r="G64" s="283" t="s">
        <v>158</v>
      </c>
      <c r="H64" s="283" t="s">
        <v>158</v>
      </c>
      <c r="I64" s="283" t="s">
        <v>158</v>
      </c>
      <c r="J64" s="283" t="s">
        <v>158</v>
      </c>
      <c r="K64" s="283" t="s">
        <v>158</v>
      </c>
      <c r="L64" s="283" t="s">
        <v>158</v>
      </c>
      <c r="M64" s="345"/>
      <c r="N64" s="346"/>
      <c r="O64" s="346"/>
      <c r="P64" s="346"/>
      <c r="Q64" s="346"/>
      <c r="R64" s="346"/>
      <c r="S64" s="346"/>
      <c r="T64" s="347"/>
      <c r="U64" s="231" t="s">
        <v>175</v>
      </c>
      <c r="V64" s="231" t="s">
        <v>323</v>
      </c>
      <c r="W64" s="231">
        <f>IF($C64&lt;&gt;"",VLOOKUP(C64,t_GradeWeight[],2,FALSE),0)</f>
        <v>4</v>
      </c>
      <c r="X64" s="231">
        <f>IF(D64&lt;&gt;"",VLOOKUP(D64,t_GradeWeight[],2,FALSE),0)</f>
        <v>4</v>
      </c>
      <c r="Y64" s="231">
        <f>IF(E64&lt;&gt;"",VLOOKUP(E64,t_GradeWeight[],2,FALSE),0)</f>
        <v>4</v>
      </c>
      <c r="Z64" s="231">
        <f>IF(F64&lt;&gt;"",VLOOKUP(F64,t_GradeWeight[],2,FALSE),0)</f>
        <v>4</v>
      </c>
      <c r="AA64" s="231">
        <f>IF(G64&lt;&gt;"",VLOOKUP(G64,t_GradeWeight[],2,FALSE),0)</f>
        <v>4</v>
      </c>
      <c r="AB64" s="231">
        <f>IF(H64&lt;&gt;"",VLOOKUP(H64,t_GradeWeight[],2,FALSE),0)</f>
        <v>4</v>
      </c>
      <c r="AC64" s="231">
        <f>IF(I64&lt;&gt;"",VLOOKUP(I64,t_GradeWeight[],2,FALSE),0)</f>
        <v>4</v>
      </c>
      <c r="AD64" s="231">
        <f>IF(J64&lt;&gt;"",VLOOKUP(J64,t_GradeWeight[],2,FALSE),0)</f>
        <v>4</v>
      </c>
      <c r="AE64" s="231">
        <f>IF(K64&lt;&gt;"",VLOOKUP(K64,t_GradeWeight[],2,FALSE),0)</f>
        <v>4</v>
      </c>
      <c r="AF64" s="231">
        <f>IF(L64&lt;&gt;"",VLOOKUP(L64,t_GradeWeight[],2,FALSE),0)</f>
        <v>4</v>
      </c>
    </row>
    <row r="65" spans="1:32">
      <c r="A65" s="177"/>
      <c r="B65" s="218" t="s">
        <v>322</v>
      </c>
      <c r="C65" s="224">
        <v>1</v>
      </c>
      <c r="D65" s="224">
        <v>2</v>
      </c>
      <c r="E65" s="224">
        <v>3</v>
      </c>
      <c r="F65" s="224">
        <v>4</v>
      </c>
      <c r="G65" s="224">
        <v>5</v>
      </c>
      <c r="H65" s="224">
        <v>6</v>
      </c>
      <c r="I65" s="224">
        <v>7</v>
      </c>
      <c r="J65" s="224">
        <v>8</v>
      </c>
      <c r="K65" s="224">
        <v>9</v>
      </c>
      <c r="L65" s="224">
        <v>10</v>
      </c>
      <c r="M65" s="330" t="s">
        <v>389</v>
      </c>
      <c r="N65" s="331"/>
      <c r="O65" s="331"/>
      <c r="P65" s="331"/>
      <c r="Q65" s="331"/>
      <c r="R65" s="331"/>
      <c r="S65" s="331"/>
      <c r="T65" s="332"/>
      <c r="U65" s="232"/>
      <c r="V65" s="233"/>
      <c r="W65" s="233"/>
      <c r="X65" s="233"/>
      <c r="Y65" s="233"/>
      <c r="Z65" s="233"/>
      <c r="AA65" s="233"/>
      <c r="AB65" s="233"/>
      <c r="AC65" s="233"/>
      <c r="AD65" s="233"/>
      <c r="AE65" s="233"/>
      <c r="AF65" s="233"/>
    </row>
    <row r="66" spans="1:32" ht="27" customHeight="1" outlineLevel="1">
      <c r="A66" s="177"/>
      <c r="B66" s="285" t="s">
        <v>557</v>
      </c>
      <c r="C66" s="283" t="s">
        <v>158</v>
      </c>
      <c r="D66" s="283" t="s">
        <v>546</v>
      </c>
      <c r="E66" s="283" t="s">
        <v>158</v>
      </c>
      <c r="F66" s="283" t="s">
        <v>158</v>
      </c>
      <c r="G66" s="283" t="s">
        <v>158</v>
      </c>
      <c r="H66" s="283" t="s">
        <v>158</v>
      </c>
      <c r="I66" s="283" t="s">
        <v>158</v>
      </c>
      <c r="J66" s="283" t="s">
        <v>158</v>
      </c>
      <c r="K66" s="283" t="s">
        <v>158</v>
      </c>
      <c r="L66" s="283" t="s">
        <v>158</v>
      </c>
      <c r="M66" s="345"/>
      <c r="N66" s="346"/>
      <c r="O66" s="346"/>
      <c r="P66" s="346"/>
      <c r="Q66" s="346"/>
      <c r="R66" s="346"/>
      <c r="S66" s="346"/>
      <c r="T66" s="347"/>
      <c r="U66" s="231" t="s">
        <v>322</v>
      </c>
      <c r="V66" s="231" t="s">
        <v>309</v>
      </c>
      <c r="W66" s="231">
        <f>IF(C66&lt;&gt;"",VLOOKUP(C66,t_GradeWeight[],2,FALSE),0)</f>
        <v>4</v>
      </c>
      <c r="X66" s="231">
        <f>IF(D66&lt;&gt;"",VLOOKUP(D66,t_GradeWeight[],2,FALSE),0)</f>
        <v>4</v>
      </c>
      <c r="Y66" s="231">
        <f>IF(E66&lt;&gt;"",VLOOKUP(E66,t_GradeWeight[],2,FALSE),0)</f>
        <v>4</v>
      </c>
      <c r="Z66" s="231">
        <f>IF(F66&lt;&gt;"",VLOOKUP(F66,t_GradeWeight[],2,FALSE),0)</f>
        <v>4</v>
      </c>
      <c r="AA66" s="231">
        <f>IF(G66&lt;&gt;"",VLOOKUP(G66,t_GradeWeight[],2,FALSE),0)</f>
        <v>4</v>
      </c>
      <c r="AB66" s="231">
        <f>IF(H66&lt;&gt;"",VLOOKUP(H66,t_GradeWeight[],2,FALSE),0)</f>
        <v>4</v>
      </c>
      <c r="AC66" s="231">
        <f>IF(I66&lt;&gt;"",VLOOKUP(I66,t_GradeWeight[],2,FALSE),0)</f>
        <v>4</v>
      </c>
      <c r="AD66" s="231">
        <f>IF(J66&lt;&gt;"",VLOOKUP(J66,t_GradeWeight[],2,FALSE),0)</f>
        <v>4</v>
      </c>
      <c r="AE66" s="231">
        <f>IF(K66&lt;&gt;"",VLOOKUP(K66,t_GradeWeight[],2,FALSE),0)</f>
        <v>4</v>
      </c>
      <c r="AF66" s="231">
        <f>IF(L66&lt;&gt;"",VLOOKUP(L66,t_GradeWeight[],2,FALSE),0)</f>
        <v>4</v>
      </c>
    </row>
    <row r="67" spans="1:32" ht="27" customHeight="1" outlineLevel="1">
      <c r="A67" s="177"/>
      <c r="B67" s="285" t="s">
        <v>569</v>
      </c>
      <c r="C67" s="283" t="s">
        <v>158</v>
      </c>
      <c r="D67" s="283" t="s">
        <v>546</v>
      </c>
      <c r="E67" s="283" t="s">
        <v>158</v>
      </c>
      <c r="F67" s="283" t="s">
        <v>158</v>
      </c>
      <c r="G67" s="283" t="s">
        <v>158</v>
      </c>
      <c r="H67" s="283" t="s">
        <v>158</v>
      </c>
      <c r="I67" s="283" t="s">
        <v>158</v>
      </c>
      <c r="J67" s="283" t="s">
        <v>158</v>
      </c>
      <c r="K67" s="283" t="s">
        <v>158</v>
      </c>
      <c r="L67" s="283" t="s">
        <v>158</v>
      </c>
      <c r="M67" s="345"/>
      <c r="N67" s="346"/>
      <c r="O67" s="346"/>
      <c r="P67" s="346"/>
      <c r="Q67" s="346"/>
      <c r="R67" s="346"/>
      <c r="S67" s="346"/>
      <c r="T67" s="347"/>
      <c r="U67" s="231" t="s">
        <v>322</v>
      </c>
      <c r="V67" s="231" t="s">
        <v>309</v>
      </c>
      <c r="W67" s="231">
        <f>IF($C67&lt;&gt;"",VLOOKUP(C67,t_GradeWeight[],2,FALSE),0)</f>
        <v>4</v>
      </c>
      <c r="X67" s="231">
        <f>IF(D67&lt;&gt;"",VLOOKUP(D67,t_GradeWeight[],2,FALSE),0)</f>
        <v>4</v>
      </c>
      <c r="Y67" s="231">
        <f>IF(E67&lt;&gt;"",VLOOKUP(E67,t_GradeWeight[],2,FALSE),0)</f>
        <v>4</v>
      </c>
      <c r="Z67" s="231">
        <f>IF(F67&lt;&gt;"",VLOOKUP(F67,t_GradeWeight[],2,FALSE),0)</f>
        <v>4</v>
      </c>
      <c r="AA67" s="231">
        <f>IF(G67&lt;&gt;"",VLOOKUP(G67,t_GradeWeight[],2,FALSE),0)</f>
        <v>4</v>
      </c>
      <c r="AB67" s="231">
        <f>IF(H67&lt;&gt;"",VLOOKUP(H67,t_GradeWeight[],2,FALSE),0)</f>
        <v>4</v>
      </c>
      <c r="AC67" s="231">
        <f>IF(I67&lt;&gt;"",VLOOKUP(I67,t_GradeWeight[],2,FALSE),0)</f>
        <v>4</v>
      </c>
      <c r="AD67" s="231">
        <f>IF(J67&lt;&gt;"",VLOOKUP(J67,t_GradeWeight[],2,FALSE),0)</f>
        <v>4</v>
      </c>
      <c r="AE67" s="231">
        <f>IF(K67&lt;&gt;"",VLOOKUP(K67,t_GradeWeight[],2,FALSE),0)</f>
        <v>4</v>
      </c>
      <c r="AF67" s="231">
        <f>IF(L67&lt;&gt;"",VLOOKUP(L67,t_GradeWeight[],2,FALSE),0)</f>
        <v>4</v>
      </c>
    </row>
    <row r="68" spans="1:32" ht="27" customHeight="1" outlineLevel="1">
      <c r="A68" s="177"/>
      <c r="B68" s="285" t="s">
        <v>543</v>
      </c>
      <c r="C68" s="283" t="s">
        <v>158</v>
      </c>
      <c r="D68" s="283" t="s">
        <v>544</v>
      </c>
      <c r="E68" s="283" t="s">
        <v>158</v>
      </c>
      <c r="F68" s="283" t="s">
        <v>158</v>
      </c>
      <c r="G68" s="283" t="s">
        <v>158</v>
      </c>
      <c r="H68" s="283" t="s">
        <v>158</v>
      </c>
      <c r="I68" s="283" t="s">
        <v>158</v>
      </c>
      <c r="J68" s="283" t="s">
        <v>158</v>
      </c>
      <c r="K68" s="283" t="s">
        <v>158</v>
      </c>
      <c r="L68" s="283" t="s">
        <v>158</v>
      </c>
      <c r="M68" s="345"/>
      <c r="N68" s="346"/>
      <c r="O68" s="346"/>
      <c r="P68" s="346"/>
      <c r="Q68" s="346"/>
      <c r="R68" s="346"/>
      <c r="S68" s="346"/>
      <c r="T68" s="347"/>
      <c r="U68" s="231" t="s">
        <v>322</v>
      </c>
      <c r="V68" s="231" t="s">
        <v>309</v>
      </c>
      <c r="W68" s="231">
        <f>IF($C68&lt;&gt;"",VLOOKUP(C68,t_GradeWeight[],2,FALSE),0)</f>
        <v>4</v>
      </c>
      <c r="X68" s="231">
        <f>IF(D68&lt;&gt;"",VLOOKUP(D68,t_GradeWeight[],2,FALSE),0)</f>
        <v>4</v>
      </c>
      <c r="Y68" s="231">
        <f>IF(E68&lt;&gt;"",VLOOKUP(E68,t_GradeWeight[],2,FALSE),0)</f>
        <v>4</v>
      </c>
      <c r="Z68" s="231">
        <f>IF(F68&lt;&gt;"",VLOOKUP(F68,t_GradeWeight[],2,FALSE),0)</f>
        <v>4</v>
      </c>
      <c r="AA68" s="231">
        <f>IF(G68&lt;&gt;"",VLOOKUP(G68,t_GradeWeight[],2,FALSE),0)</f>
        <v>4</v>
      </c>
      <c r="AB68" s="231">
        <f>IF(H68&lt;&gt;"",VLOOKUP(H68,t_GradeWeight[],2,FALSE),0)</f>
        <v>4</v>
      </c>
      <c r="AC68" s="231">
        <f>IF(I68&lt;&gt;"",VLOOKUP(I68,t_GradeWeight[],2,FALSE),0)</f>
        <v>4</v>
      </c>
      <c r="AD68" s="231">
        <f>IF(J68&lt;&gt;"",VLOOKUP(J68,t_GradeWeight[],2,FALSE),0)</f>
        <v>4</v>
      </c>
      <c r="AE68" s="231">
        <f>IF(K68&lt;&gt;"",VLOOKUP(K68,t_GradeWeight[],2,FALSE),0)</f>
        <v>4</v>
      </c>
      <c r="AF68" s="231">
        <f>IF(L68&lt;&gt;"",VLOOKUP(L68,t_GradeWeight[],2,FALSE),0)</f>
        <v>4</v>
      </c>
    </row>
    <row r="69" spans="1:32" s="191" customFormat="1" ht="27" customHeight="1" outlineLevel="1">
      <c r="A69" s="177"/>
      <c r="B69" s="285" t="s">
        <v>579</v>
      </c>
      <c r="C69" s="283" t="s">
        <v>158</v>
      </c>
      <c r="D69" s="283" t="s">
        <v>546</v>
      </c>
      <c r="E69" s="283" t="s">
        <v>158</v>
      </c>
      <c r="F69" s="283" t="s">
        <v>158</v>
      </c>
      <c r="G69" s="283" t="s">
        <v>158</v>
      </c>
      <c r="H69" s="283" t="s">
        <v>158</v>
      </c>
      <c r="I69" s="283" t="s">
        <v>158</v>
      </c>
      <c r="J69" s="283" t="s">
        <v>158</v>
      </c>
      <c r="K69" s="283" t="s">
        <v>158</v>
      </c>
      <c r="L69" s="283" t="s">
        <v>158</v>
      </c>
      <c r="M69" s="345"/>
      <c r="N69" s="346"/>
      <c r="O69" s="346"/>
      <c r="P69" s="346"/>
      <c r="Q69" s="346"/>
      <c r="R69" s="346"/>
      <c r="S69" s="346"/>
      <c r="T69" s="347"/>
      <c r="U69" s="231" t="s">
        <v>322</v>
      </c>
      <c r="V69" s="231" t="s">
        <v>324</v>
      </c>
      <c r="W69" s="231">
        <f>IF($C69&lt;&gt;"",VLOOKUP(C69,t_GradeWeight[],2,FALSE),0)</f>
        <v>4</v>
      </c>
      <c r="X69" s="231">
        <f>IF(D69&lt;&gt;"",VLOOKUP(D69,t_GradeWeight[],2,FALSE),0)</f>
        <v>4</v>
      </c>
      <c r="Y69" s="231">
        <f>IF(E69&lt;&gt;"",VLOOKUP(E69,t_GradeWeight[],2,FALSE),0)</f>
        <v>4</v>
      </c>
      <c r="Z69" s="231">
        <f>IF(F69&lt;&gt;"",VLOOKUP(F69,t_GradeWeight[],2,FALSE),0)</f>
        <v>4</v>
      </c>
      <c r="AA69" s="231">
        <f>IF(G69&lt;&gt;"",VLOOKUP(G69,t_GradeWeight[],2,FALSE),0)</f>
        <v>4</v>
      </c>
      <c r="AB69" s="231">
        <f>IF(H69&lt;&gt;"",VLOOKUP(H69,t_GradeWeight[],2,FALSE),0)</f>
        <v>4</v>
      </c>
      <c r="AC69" s="231">
        <f>IF(I69&lt;&gt;"",VLOOKUP(I69,t_GradeWeight[],2,FALSE),0)</f>
        <v>4</v>
      </c>
      <c r="AD69" s="231">
        <f>IF(J69&lt;&gt;"",VLOOKUP(J69,t_GradeWeight[],2,FALSE),0)</f>
        <v>4</v>
      </c>
      <c r="AE69" s="231">
        <f>IF(K69&lt;&gt;"",VLOOKUP(K69,t_GradeWeight[],2,FALSE),0)</f>
        <v>4</v>
      </c>
      <c r="AF69" s="231">
        <f>IF(L69&lt;&gt;"",VLOOKUP(L69,t_GradeWeight[],2,FALSE),0)</f>
        <v>4</v>
      </c>
    </row>
    <row r="70" spans="1:32">
      <c r="A70" s="177"/>
      <c r="B70" s="218" t="s">
        <v>326</v>
      </c>
      <c r="C70" s="224">
        <v>1</v>
      </c>
      <c r="D70" s="224">
        <v>2</v>
      </c>
      <c r="E70" s="224">
        <v>3</v>
      </c>
      <c r="F70" s="224">
        <v>4</v>
      </c>
      <c r="G70" s="224">
        <v>5</v>
      </c>
      <c r="H70" s="224">
        <v>6</v>
      </c>
      <c r="I70" s="224">
        <v>7</v>
      </c>
      <c r="J70" s="224">
        <v>8</v>
      </c>
      <c r="K70" s="224">
        <v>9</v>
      </c>
      <c r="L70" s="224">
        <v>10</v>
      </c>
      <c r="M70" s="330" t="s">
        <v>389</v>
      </c>
      <c r="N70" s="331"/>
      <c r="O70" s="331"/>
      <c r="P70" s="331"/>
      <c r="Q70" s="331"/>
      <c r="R70" s="331"/>
      <c r="S70" s="331"/>
      <c r="T70" s="332"/>
      <c r="U70" s="232"/>
      <c r="V70" s="233"/>
      <c r="W70" s="233"/>
      <c r="X70" s="233"/>
      <c r="Y70" s="233"/>
      <c r="Z70" s="233"/>
      <c r="AA70" s="233"/>
      <c r="AB70" s="233"/>
      <c r="AC70" s="233"/>
      <c r="AD70" s="233"/>
      <c r="AE70" s="233"/>
      <c r="AF70" s="233"/>
    </row>
    <row r="71" spans="1:32" ht="27" customHeight="1" outlineLevel="1">
      <c r="A71" s="177"/>
      <c r="B71" s="285" t="s">
        <v>304</v>
      </c>
      <c r="C71" s="283" t="s">
        <v>158</v>
      </c>
      <c r="D71" s="283" t="s">
        <v>546</v>
      </c>
      <c r="E71" s="283" t="s">
        <v>158</v>
      </c>
      <c r="F71" s="283" t="s">
        <v>158</v>
      </c>
      <c r="G71" s="283" t="s">
        <v>158</v>
      </c>
      <c r="H71" s="283" t="s">
        <v>158</v>
      </c>
      <c r="I71" s="283" t="s">
        <v>158</v>
      </c>
      <c r="J71" s="283" t="s">
        <v>158</v>
      </c>
      <c r="K71" s="283" t="s">
        <v>158</v>
      </c>
      <c r="L71" s="283" t="s">
        <v>158</v>
      </c>
      <c r="M71" s="345"/>
      <c r="N71" s="346"/>
      <c r="O71" s="346"/>
      <c r="P71" s="346"/>
      <c r="Q71" s="346"/>
      <c r="R71" s="346"/>
      <c r="S71" s="346"/>
      <c r="T71" s="347"/>
      <c r="U71" s="231" t="s">
        <v>326</v>
      </c>
      <c r="V71" s="231" t="s">
        <v>314</v>
      </c>
      <c r="W71" s="231">
        <f>IF(C71&lt;&gt;"",VLOOKUP(C71,t_GradeWeight[],2,FALSE),0)</f>
        <v>4</v>
      </c>
      <c r="X71" s="231">
        <f>IF(D71&lt;&gt;"",VLOOKUP(D71,t_GradeWeight[],2,FALSE),0)</f>
        <v>4</v>
      </c>
      <c r="Y71" s="231">
        <f>IF(E71&lt;&gt;"",VLOOKUP(E71,t_GradeWeight[],2,FALSE),0)</f>
        <v>4</v>
      </c>
      <c r="Z71" s="231">
        <f>IF(F71&lt;&gt;"",VLOOKUP(F71,t_GradeWeight[],2,FALSE),0)</f>
        <v>4</v>
      </c>
      <c r="AA71" s="231">
        <f>IF(G71&lt;&gt;"",VLOOKUP(G71,t_GradeWeight[],2,FALSE),0)</f>
        <v>4</v>
      </c>
      <c r="AB71" s="231">
        <f>IF(H71&lt;&gt;"",VLOOKUP(H71,t_GradeWeight[],2,FALSE),0)</f>
        <v>4</v>
      </c>
      <c r="AC71" s="231">
        <f>IF(I71&lt;&gt;"",VLOOKUP(I71,t_GradeWeight[],2,FALSE),0)</f>
        <v>4</v>
      </c>
      <c r="AD71" s="231">
        <f>IF(J71&lt;&gt;"",VLOOKUP(J71,t_GradeWeight[],2,FALSE),0)</f>
        <v>4</v>
      </c>
      <c r="AE71" s="231">
        <f>IF(K71&lt;&gt;"",VLOOKUP(K71,t_GradeWeight[],2,FALSE),0)</f>
        <v>4</v>
      </c>
      <c r="AF71" s="231">
        <f>IF(L71&lt;&gt;"",VLOOKUP(L71,t_GradeWeight[],2,FALSE),0)</f>
        <v>4</v>
      </c>
    </row>
    <row r="72" spans="1:32" s="191" customFormat="1" ht="27" customHeight="1" outlineLevel="1">
      <c r="A72" s="177"/>
      <c r="B72" s="285" t="s">
        <v>391</v>
      </c>
      <c r="C72" s="283" t="s">
        <v>158</v>
      </c>
      <c r="D72" s="283" t="s">
        <v>546</v>
      </c>
      <c r="E72" s="283" t="s">
        <v>158</v>
      </c>
      <c r="F72" s="283" t="s">
        <v>158</v>
      </c>
      <c r="G72" s="283" t="s">
        <v>158</v>
      </c>
      <c r="H72" s="283" t="s">
        <v>158</v>
      </c>
      <c r="I72" s="283" t="s">
        <v>158</v>
      </c>
      <c r="J72" s="283" t="s">
        <v>158</v>
      </c>
      <c r="K72" s="283" t="s">
        <v>158</v>
      </c>
      <c r="L72" s="283" t="s">
        <v>158</v>
      </c>
      <c r="M72" s="345"/>
      <c r="N72" s="346"/>
      <c r="O72" s="346"/>
      <c r="P72" s="346"/>
      <c r="Q72" s="346"/>
      <c r="R72" s="346"/>
      <c r="S72" s="346"/>
      <c r="T72" s="347"/>
      <c r="U72" s="231" t="s">
        <v>326</v>
      </c>
      <c r="V72" s="231" t="s">
        <v>314</v>
      </c>
      <c r="W72" s="231">
        <f>IF($C72&lt;&gt;"",VLOOKUP(C72,t_GradeWeight[],2,FALSE),0)</f>
        <v>4</v>
      </c>
      <c r="X72" s="231">
        <f>IF(D72&lt;&gt;"",VLOOKUP(D72,t_GradeWeight[],2,FALSE),0)</f>
        <v>4</v>
      </c>
      <c r="Y72" s="231">
        <f>IF(E72&lt;&gt;"",VLOOKUP(E72,t_GradeWeight[],2,FALSE),0)</f>
        <v>4</v>
      </c>
      <c r="Z72" s="231">
        <f>IF(F72&lt;&gt;"",VLOOKUP(F72,t_GradeWeight[],2,FALSE),0)</f>
        <v>4</v>
      </c>
      <c r="AA72" s="231">
        <f>IF(G72&lt;&gt;"",VLOOKUP(G72,t_GradeWeight[],2,FALSE),0)</f>
        <v>4</v>
      </c>
      <c r="AB72" s="231">
        <f>IF(H72&lt;&gt;"",VLOOKUP(H72,t_GradeWeight[],2,FALSE),0)</f>
        <v>4</v>
      </c>
      <c r="AC72" s="231">
        <f>IF(I72&lt;&gt;"",VLOOKUP(I72,t_GradeWeight[],2,FALSE),0)</f>
        <v>4</v>
      </c>
      <c r="AD72" s="231">
        <f>IF(J72&lt;&gt;"",VLOOKUP(J72,t_GradeWeight[],2,FALSE),0)</f>
        <v>4</v>
      </c>
      <c r="AE72" s="231">
        <f>IF(K72&lt;&gt;"",VLOOKUP(K72,t_GradeWeight[],2,FALSE),0)</f>
        <v>4</v>
      </c>
      <c r="AF72" s="231">
        <f>IF(L72&lt;&gt;"",VLOOKUP(L72,t_GradeWeight[],2,FALSE),0)</f>
        <v>4</v>
      </c>
    </row>
    <row r="73" spans="1:32" ht="27" customHeight="1" outlineLevel="1">
      <c r="A73" s="177"/>
      <c r="B73" s="285" t="s">
        <v>547</v>
      </c>
      <c r="C73" s="283" t="s">
        <v>158</v>
      </c>
      <c r="D73" s="283" t="s">
        <v>546</v>
      </c>
      <c r="E73" s="283" t="s">
        <v>158</v>
      </c>
      <c r="F73" s="283" t="s">
        <v>158</v>
      </c>
      <c r="G73" s="283" t="s">
        <v>158</v>
      </c>
      <c r="H73" s="283" t="s">
        <v>158</v>
      </c>
      <c r="I73" s="283" t="s">
        <v>158</v>
      </c>
      <c r="J73" s="283" t="s">
        <v>158</v>
      </c>
      <c r="K73" s="283" t="s">
        <v>158</v>
      </c>
      <c r="L73" s="283" t="s">
        <v>158</v>
      </c>
      <c r="M73" s="345"/>
      <c r="N73" s="346"/>
      <c r="O73" s="346"/>
      <c r="P73" s="346"/>
      <c r="Q73" s="346"/>
      <c r="R73" s="346"/>
      <c r="S73" s="346"/>
      <c r="T73" s="347"/>
      <c r="U73" s="231" t="s">
        <v>326</v>
      </c>
      <c r="V73" s="231" t="s">
        <v>314</v>
      </c>
      <c r="W73" s="231">
        <f>IF($C73&lt;&gt;"",VLOOKUP(C73,t_GradeWeight[],2,FALSE),0)</f>
        <v>4</v>
      </c>
      <c r="X73" s="231">
        <f>IF(D73&lt;&gt;"",VLOOKUP(D73,t_GradeWeight[],2,FALSE),0)</f>
        <v>4</v>
      </c>
      <c r="Y73" s="231">
        <f>IF(E73&lt;&gt;"",VLOOKUP(E73,t_GradeWeight[],2,FALSE),0)</f>
        <v>4</v>
      </c>
      <c r="Z73" s="231">
        <f>IF(F73&lt;&gt;"",VLOOKUP(F73,t_GradeWeight[],2,FALSE),0)</f>
        <v>4</v>
      </c>
      <c r="AA73" s="231">
        <f>IF(G73&lt;&gt;"",VLOOKUP(G73,t_GradeWeight[],2,FALSE),0)</f>
        <v>4</v>
      </c>
      <c r="AB73" s="231">
        <f>IF(H73&lt;&gt;"",VLOOKUP(H73,t_GradeWeight[],2,FALSE),0)</f>
        <v>4</v>
      </c>
      <c r="AC73" s="231">
        <f>IF(I73&lt;&gt;"",VLOOKUP(I73,t_GradeWeight[],2,FALSE),0)</f>
        <v>4</v>
      </c>
      <c r="AD73" s="231">
        <f>IF(J73&lt;&gt;"",VLOOKUP(J73,t_GradeWeight[],2,FALSE),0)</f>
        <v>4</v>
      </c>
      <c r="AE73" s="231">
        <f>IF(K73&lt;&gt;"",VLOOKUP(K73,t_GradeWeight[],2,FALSE),0)</f>
        <v>4</v>
      </c>
      <c r="AF73" s="231">
        <f>IF(L73&lt;&gt;"",VLOOKUP(L73,t_GradeWeight[],2,FALSE),0)</f>
        <v>4</v>
      </c>
    </row>
    <row r="74" spans="1:32" ht="27" customHeight="1" outlineLevel="1">
      <c r="A74" s="177"/>
      <c r="B74" s="285" t="s">
        <v>555</v>
      </c>
      <c r="C74" s="283" t="s">
        <v>158</v>
      </c>
      <c r="D74" s="283" t="s">
        <v>546</v>
      </c>
      <c r="E74" s="283" t="s">
        <v>158</v>
      </c>
      <c r="F74" s="283" t="s">
        <v>158</v>
      </c>
      <c r="G74" s="283" t="s">
        <v>158</v>
      </c>
      <c r="H74" s="283" t="s">
        <v>158</v>
      </c>
      <c r="I74" s="283" t="s">
        <v>158</v>
      </c>
      <c r="J74" s="283" t="s">
        <v>158</v>
      </c>
      <c r="K74" s="283" t="s">
        <v>158</v>
      </c>
      <c r="L74" s="283" t="s">
        <v>158</v>
      </c>
      <c r="M74" s="345"/>
      <c r="N74" s="346"/>
      <c r="O74" s="346"/>
      <c r="P74" s="346"/>
      <c r="Q74" s="346"/>
      <c r="R74" s="346"/>
      <c r="S74" s="346"/>
      <c r="T74" s="347"/>
      <c r="U74" s="231" t="s">
        <v>326</v>
      </c>
      <c r="V74" s="231" t="s">
        <v>314</v>
      </c>
      <c r="W74" s="231">
        <f>IF($C74&lt;&gt;"",VLOOKUP(C74,t_GradeWeight[],2,FALSE),0)</f>
        <v>4</v>
      </c>
      <c r="X74" s="231">
        <f>IF(D74&lt;&gt;"",VLOOKUP(D74,t_GradeWeight[],2,FALSE),0)</f>
        <v>4</v>
      </c>
      <c r="Y74" s="231">
        <f>IF(E74&lt;&gt;"",VLOOKUP(E74,t_GradeWeight[],2,FALSE),0)</f>
        <v>4</v>
      </c>
      <c r="Z74" s="231">
        <f>IF(F74&lt;&gt;"",VLOOKUP(F74,t_GradeWeight[],2,FALSE),0)</f>
        <v>4</v>
      </c>
      <c r="AA74" s="231">
        <f>IF(G74&lt;&gt;"",VLOOKUP(G74,t_GradeWeight[],2,FALSE),0)</f>
        <v>4</v>
      </c>
      <c r="AB74" s="231">
        <f>IF(H74&lt;&gt;"",VLOOKUP(H74,t_GradeWeight[],2,FALSE),0)</f>
        <v>4</v>
      </c>
      <c r="AC74" s="231">
        <f>IF(I74&lt;&gt;"",VLOOKUP(I74,t_GradeWeight[],2,FALSE),0)</f>
        <v>4</v>
      </c>
      <c r="AD74" s="231">
        <f>IF(J74&lt;&gt;"",VLOOKUP(J74,t_GradeWeight[],2,FALSE),0)</f>
        <v>4</v>
      </c>
      <c r="AE74" s="231">
        <f>IF(K74&lt;&gt;"",VLOOKUP(K74,t_GradeWeight[],2,FALSE),0)</f>
        <v>4</v>
      </c>
      <c r="AF74" s="231">
        <f>IF(L74&lt;&gt;"",VLOOKUP(L74,t_GradeWeight[],2,FALSE),0)</f>
        <v>4</v>
      </c>
    </row>
    <row r="75" spans="1:32" ht="27" customHeight="1" outlineLevel="1">
      <c r="A75" s="177"/>
      <c r="B75" s="285" t="s">
        <v>562</v>
      </c>
      <c r="C75" s="283" t="s">
        <v>158</v>
      </c>
      <c r="D75" s="283" t="s">
        <v>546</v>
      </c>
      <c r="E75" s="283" t="s">
        <v>158</v>
      </c>
      <c r="F75" s="283" t="s">
        <v>158</v>
      </c>
      <c r="G75" s="283" t="s">
        <v>158</v>
      </c>
      <c r="H75" s="283" t="s">
        <v>158</v>
      </c>
      <c r="I75" s="283" t="s">
        <v>158</v>
      </c>
      <c r="J75" s="283" t="s">
        <v>158</v>
      </c>
      <c r="K75" s="283" t="s">
        <v>158</v>
      </c>
      <c r="L75" s="283" t="s">
        <v>158</v>
      </c>
      <c r="M75" s="345"/>
      <c r="N75" s="346"/>
      <c r="O75" s="346"/>
      <c r="P75" s="346"/>
      <c r="Q75" s="346"/>
      <c r="R75" s="346"/>
      <c r="S75" s="346"/>
      <c r="T75" s="347"/>
      <c r="U75" s="231" t="s">
        <v>326</v>
      </c>
      <c r="V75" s="231" t="s">
        <v>309</v>
      </c>
      <c r="W75" s="231">
        <f>IF($C75&lt;&gt;"",VLOOKUP(C75,t_GradeWeight[],2,FALSE),0)</f>
        <v>4</v>
      </c>
      <c r="X75" s="231">
        <f>IF(D75&lt;&gt;"",VLOOKUP(D75,t_GradeWeight[],2,FALSE),0)</f>
        <v>4</v>
      </c>
      <c r="Y75" s="231">
        <f>IF(E75&lt;&gt;"",VLOOKUP(E75,t_GradeWeight[],2,FALSE),0)</f>
        <v>4</v>
      </c>
      <c r="Z75" s="231">
        <f>IF(F75&lt;&gt;"",VLOOKUP(F75,t_GradeWeight[],2,FALSE),0)</f>
        <v>4</v>
      </c>
      <c r="AA75" s="231">
        <f>IF(G75&lt;&gt;"",VLOOKUP(G75,t_GradeWeight[],2,FALSE),0)</f>
        <v>4</v>
      </c>
      <c r="AB75" s="231">
        <f>IF(H75&lt;&gt;"",VLOOKUP(H75,t_GradeWeight[],2,FALSE),0)</f>
        <v>4</v>
      </c>
      <c r="AC75" s="231">
        <f>IF(I75&lt;&gt;"",VLOOKUP(I75,t_GradeWeight[],2,FALSE),0)</f>
        <v>4</v>
      </c>
      <c r="AD75" s="231">
        <f>IF(J75&lt;&gt;"",VLOOKUP(J75,t_GradeWeight[],2,FALSE),0)</f>
        <v>4</v>
      </c>
      <c r="AE75" s="231">
        <f>IF(K75&lt;&gt;"",VLOOKUP(K75,t_GradeWeight[],2,FALSE),0)</f>
        <v>4</v>
      </c>
      <c r="AF75" s="231">
        <f>IF(L75&lt;&gt;"",VLOOKUP(L75,t_GradeWeight[],2,FALSE),0)</f>
        <v>4</v>
      </c>
    </row>
    <row r="76" spans="1:32" ht="27" customHeight="1" outlineLevel="1">
      <c r="A76" s="177"/>
      <c r="B76" s="285" t="s">
        <v>575</v>
      </c>
      <c r="C76" s="283" t="s">
        <v>158</v>
      </c>
      <c r="D76" s="283" t="s">
        <v>546</v>
      </c>
      <c r="E76" s="283" t="s">
        <v>158</v>
      </c>
      <c r="F76" s="283" t="s">
        <v>158</v>
      </c>
      <c r="G76" s="283" t="s">
        <v>158</v>
      </c>
      <c r="H76" s="283" t="s">
        <v>158</v>
      </c>
      <c r="I76" s="283" t="s">
        <v>158</v>
      </c>
      <c r="J76" s="283" t="s">
        <v>158</v>
      </c>
      <c r="K76" s="283" t="s">
        <v>158</v>
      </c>
      <c r="L76" s="283" t="s">
        <v>158</v>
      </c>
      <c r="M76" s="345"/>
      <c r="N76" s="346"/>
      <c r="O76" s="346"/>
      <c r="P76" s="346"/>
      <c r="Q76" s="346"/>
      <c r="R76" s="346"/>
      <c r="S76" s="346"/>
      <c r="T76" s="347"/>
      <c r="U76" s="231" t="s">
        <v>326</v>
      </c>
      <c r="V76" s="231" t="s">
        <v>323</v>
      </c>
      <c r="W76" s="231">
        <f>IF($C76&lt;&gt;"",VLOOKUP(C76,t_GradeWeight[],2,FALSE),0)</f>
        <v>4</v>
      </c>
      <c r="X76" s="231">
        <f>IF(D76&lt;&gt;"",VLOOKUP(D76,t_GradeWeight[],2,FALSE),0)</f>
        <v>4</v>
      </c>
      <c r="Y76" s="231">
        <f>IF(E76&lt;&gt;"",VLOOKUP(E76,t_GradeWeight[],2,FALSE),0)</f>
        <v>4</v>
      </c>
      <c r="Z76" s="231">
        <f>IF(F76&lt;&gt;"",VLOOKUP(F76,t_GradeWeight[],2,FALSE),0)</f>
        <v>4</v>
      </c>
      <c r="AA76" s="231">
        <f>IF(G76&lt;&gt;"",VLOOKUP(G76,t_GradeWeight[],2,FALSE),0)</f>
        <v>4</v>
      </c>
      <c r="AB76" s="231">
        <f>IF(H76&lt;&gt;"",VLOOKUP(H76,t_GradeWeight[],2,FALSE),0)</f>
        <v>4</v>
      </c>
      <c r="AC76" s="231">
        <f>IF(I76&lt;&gt;"",VLOOKUP(I76,t_GradeWeight[],2,FALSE),0)</f>
        <v>4</v>
      </c>
      <c r="AD76" s="231">
        <f>IF(J76&lt;&gt;"",VLOOKUP(J76,t_GradeWeight[],2,FALSE),0)</f>
        <v>4</v>
      </c>
      <c r="AE76" s="231">
        <f>IF(K76&lt;&gt;"",VLOOKUP(K76,t_GradeWeight[],2,FALSE),0)</f>
        <v>4</v>
      </c>
      <c r="AF76" s="231">
        <f>IF(L76&lt;&gt;"",VLOOKUP(L76,t_GradeWeight[],2,FALSE),0)</f>
        <v>4</v>
      </c>
    </row>
    <row r="77" spans="1:32" ht="27" customHeight="1" outlineLevel="1">
      <c r="A77" s="177"/>
      <c r="B77" s="285" t="s">
        <v>556</v>
      </c>
      <c r="C77" s="283" t="s">
        <v>158</v>
      </c>
      <c r="D77" s="283" t="s">
        <v>546</v>
      </c>
      <c r="E77" s="283" t="s">
        <v>158</v>
      </c>
      <c r="F77" s="283" t="s">
        <v>158</v>
      </c>
      <c r="G77" s="283" t="s">
        <v>158</v>
      </c>
      <c r="H77" s="283" t="s">
        <v>158</v>
      </c>
      <c r="I77" s="283" t="s">
        <v>158</v>
      </c>
      <c r="J77" s="283" t="s">
        <v>158</v>
      </c>
      <c r="K77" s="283" t="s">
        <v>158</v>
      </c>
      <c r="L77" s="283" t="s">
        <v>158</v>
      </c>
      <c r="M77" s="345"/>
      <c r="N77" s="346"/>
      <c r="O77" s="346"/>
      <c r="P77" s="346"/>
      <c r="Q77" s="346"/>
      <c r="R77" s="346"/>
      <c r="S77" s="346"/>
      <c r="T77" s="347"/>
      <c r="U77" s="231" t="s">
        <v>326</v>
      </c>
      <c r="V77" s="231" t="s">
        <v>314</v>
      </c>
      <c r="W77" s="231">
        <f>IF($C77&lt;&gt;"",VLOOKUP(C77,t_GradeWeight[],2,FALSE),0)</f>
        <v>4</v>
      </c>
      <c r="X77" s="231">
        <f>IF(D77&lt;&gt;"",VLOOKUP(D77,t_GradeWeight[],2,FALSE),0)</f>
        <v>4</v>
      </c>
      <c r="Y77" s="231">
        <f>IF(E77&lt;&gt;"",VLOOKUP(E77,t_GradeWeight[],2,FALSE),0)</f>
        <v>4</v>
      </c>
      <c r="Z77" s="231">
        <f>IF(F77&lt;&gt;"",VLOOKUP(F77,t_GradeWeight[],2,FALSE),0)</f>
        <v>4</v>
      </c>
      <c r="AA77" s="231">
        <f>IF(G77&lt;&gt;"",VLOOKUP(G77,t_GradeWeight[],2,FALSE),0)</f>
        <v>4</v>
      </c>
      <c r="AB77" s="231">
        <f>IF(H77&lt;&gt;"",VLOOKUP(H77,t_GradeWeight[],2,FALSE),0)</f>
        <v>4</v>
      </c>
      <c r="AC77" s="231">
        <f>IF(I77&lt;&gt;"",VLOOKUP(I77,t_GradeWeight[],2,FALSE),0)</f>
        <v>4</v>
      </c>
      <c r="AD77" s="231">
        <f>IF(J77&lt;&gt;"",VLOOKUP(J77,t_GradeWeight[],2,FALSE),0)</f>
        <v>4</v>
      </c>
      <c r="AE77" s="231">
        <f>IF(K77&lt;&gt;"",VLOOKUP(K77,t_GradeWeight[],2,FALSE),0)</f>
        <v>4</v>
      </c>
      <c r="AF77" s="231">
        <f>IF(L77&lt;&gt;"",VLOOKUP(L77,t_GradeWeight[],2,FALSE),0)</f>
        <v>4</v>
      </c>
    </row>
    <row r="78" spans="1:32" ht="27" customHeight="1" outlineLevel="1">
      <c r="A78" s="177"/>
      <c r="B78" s="285" t="s">
        <v>553</v>
      </c>
      <c r="C78" s="283" t="s">
        <v>158</v>
      </c>
      <c r="D78" s="283" t="s">
        <v>546</v>
      </c>
      <c r="E78" s="283" t="s">
        <v>158</v>
      </c>
      <c r="F78" s="283" t="s">
        <v>158</v>
      </c>
      <c r="G78" s="283" t="s">
        <v>158</v>
      </c>
      <c r="H78" s="283" t="s">
        <v>158</v>
      </c>
      <c r="I78" s="283" t="s">
        <v>158</v>
      </c>
      <c r="J78" s="283" t="s">
        <v>158</v>
      </c>
      <c r="K78" s="283" t="s">
        <v>158</v>
      </c>
      <c r="L78" s="283" t="s">
        <v>158</v>
      </c>
      <c r="M78" s="345"/>
      <c r="N78" s="346"/>
      <c r="O78" s="346"/>
      <c r="P78" s="346"/>
      <c r="Q78" s="346"/>
      <c r="R78" s="346"/>
      <c r="S78" s="346"/>
      <c r="T78" s="347"/>
      <c r="U78" s="231" t="s">
        <v>326</v>
      </c>
      <c r="V78" s="231" t="s">
        <v>309</v>
      </c>
      <c r="W78" s="231">
        <f>IF($C78&lt;&gt;"",VLOOKUP(C78,t_GradeWeight[],2,FALSE),0)</f>
        <v>4</v>
      </c>
      <c r="X78" s="231">
        <f>IF(D78&lt;&gt;"",VLOOKUP(D78,t_GradeWeight[],2,FALSE),0)</f>
        <v>4</v>
      </c>
      <c r="Y78" s="231">
        <f>IF(E78&lt;&gt;"",VLOOKUP(E78,t_GradeWeight[],2,FALSE),0)</f>
        <v>4</v>
      </c>
      <c r="Z78" s="231">
        <f>IF(F78&lt;&gt;"",VLOOKUP(F78,t_GradeWeight[],2,FALSE),0)</f>
        <v>4</v>
      </c>
      <c r="AA78" s="231">
        <f>IF(G78&lt;&gt;"",VLOOKUP(G78,t_GradeWeight[],2,FALSE),0)</f>
        <v>4</v>
      </c>
      <c r="AB78" s="231">
        <f>IF(H78&lt;&gt;"",VLOOKUP(H78,t_GradeWeight[],2,FALSE),0)</f>
        <v>4</v>
      </c>
      <c r="AC78" s="231">
        <f>IF(I78&lt;&gt;"",VLOOKUP(I78,t_GradeWeight[],2,FALSE),0)</f>
        <v>4</v>
      </c>
      <c r="AD78" s="231">
        <f>IF(J78&lt;&gt;"",VLOOKUP(J78,t_GradeWeight[],2,FALSE),0)</f>
        <v>4</v>
      </c>
      <c r="AE78" s="231">
        <f>IF(K78&lt;&gt;"",VLOOKUP(K78,t_GradeWeight[],2,FALSE),0)</f>
        <v>4</v>
      </c>
      <c r="AF78" s="231">
        <f>IF(L78&lt;&gt;"",VLOOKUP(L78,t_GradeWeight[],2,FALSE),0)</f>
        <v>4</v>
      </c>
    </row>
    <row r="79" spans="1:32" ht="27" customHeight="1" outlineLevel="1">
      <c r="A79" s="177"/>
      <c r="B79" s="285" t="s">
        <v>567</v>
      </c>
      <c r="C79" s="283" t="s">
        <v>158</v>
      </c>
      <c r="D79" s="283" t="s">
        <v>546</v>
      </c>
      <c r="E79" s="283" t="s">
        <v>158</v>
      </c>
      <c r="F79" s="283" t="s">
        <v>158</v>
      </c>
      <c r="G79" s="283" t="s">
        <v>158</v>
      </c>
      <c r="H79" s="283" t="s">
        <v>158</v>
      </c>
      <c r="I79" s="283" t="s">
        <v>158</v>
      </c>
      <c r="J79" s="283" t="s">
        <v>158</v>
      </c>
      <c r="K79" s="283" t="s">
        <v>158</v>
      </c>
      <c r="L79" s="283" t="s">
        <v>158</v>
      </c>
      <c r="M79" s="345"/>
      <c r="N79" s="346"/>
      <c r="O79" s="346"/>
      <c r="P79" s="346"/>
      <c r="Q79" s="346"/>
      <c r="R79" s="346"/>
      <c r="S79" s="346"/>
      <c r="T79" s="347"/>
      <c r="U79" s="231" t="s">
        <v>326</v>
      </c>
      <c r="V79" s="231" t="s">
        <v>309</v>
      </c>
      <c r="W79" s="231">
        <f>IF($C79&lt;&gt;"",VLOOKUP(C79,t_GradeWeight[],2,FALSE),0)</f>
        <v>4</v>
      </c>
      <c r="X79" s="231">
        <f>IF(D79&lt;&gt;"",VLOOKUP(D79,t_GradeWeight[],2,FALSE),0)</f>
        <v>4</v>
      </c>
      <c r="Y79" s="231">
        <f>IF(E79&lt;&gt;"",VLOOKUP(E79,t_GradeWeight[],2,FALSE),0)</f>
        <v>4</v>
      </c>
      <c r="Z79" s="231">
        <f>IF(F79&lt;&gt;"",VLOOKUP(F79,t_GradeWeight[],2,FALSE),0)</f>
        <v>4</v>
      </c>
      <c r="AA79" s="231">
        <f>IF(G79&lt;&gt;"",VLOOKUP(G79,t_GradeWeight[],2,FALSE),0)</f>
        <v>4</v>
      </c>
      <c r="AB79" s="231">
        <f>IF(H79&lt;&gt;"",VLOOKUP(H79,t_GradeWeight[],2,FALSE),0)</f>
        <v>4</v>
      </c>
      <c r="AC79" s="231">
        <f>IF(I79&lt;&gt;"",VLOOKUP(I79,t_GradeWeight[],2,FALSE),0)</f>
        <v>4</v>
      </c>
      <c r="AD79" s="231">
        <f>IF(J79&lt;&gt;"",VLOOKUP(J79,t_GradeWeight[],2,FALSE),0)</f>
        <v>4</v>
      </c>
      <c r="AE79" s="231">
        <f>IF(K79&lt;&gt;"",VLOOKUP(K79,t_GradeWeight[],2,FALSE),0)</f>
        <v>4</v>
      </c>
      <c r="AF79" s="231">
        <f>IF(L79&lt;&gt;"",VLOOKUP(L79,t_GradeWeight[],2,FALSE),0)</f>
        <v>4</v>
      </c>
    </row>
    <row r="80" spans="1:32" ht="27" customHeight="1" outlineLevel="1">
      <c r="A80" s="177"/>
      <c r="B80" s="285" t="s">
        <v>574</v>
      </c>
      <c r="C80" s="283" t="s">
        <v>158</v>
      </c>
      <c r="D80" s="283" t="s">
        <v>546</v>
      </c>
      <c r="E80" s="283" t="s">
        <v>158</v>
      </c>
      <c r="F80" s="283" t="s">
        <v>158</v>
      </c>
      <c r="G80" s="283" t="s">
        <v>158</v>
      </c>
      <c r="H80" s="283" t="s">
        <v>158</v>
      </c>
      <c r="I80" s="283" t="s">
        <v>158</v>
      </c>
      <c r="J80" s="283" t="s">
        <v>158</v>
      </c>
      <c r="K80" s="283" t="s">
        <v>158</v>
      </c>
      <c r="L80" s="283" t="s">
        <v>158</v>
      </c>
      <c r="M80" s="345"/>
      <c r="N80" s="346"/>
      <c r="O80" s="346"/>
      <c r="P80" s="346"/>
      <c r="Q80" s="346"/>
      <c r="R80" s="346"/>
      <c r="S80" s="346"/>
      <c r="T80" s="347"/>
      <c r="U80" s="231" t="s">
        <v>326</v>
      </c>
      <c r="V80" s="231" t="s">
        <v>310</v>
      </c>
      <c r="W80" s="231">
        <f>IF($C80&lt;&gt;"",VLOOKUP(C80,t_GradeWeight[],2,FALSE),0)</f>
        <v>4</v>
      </c>
      <c r="X80" s="231">
        <f>IF(D80&lt;&gt;"",VLOOKUP(D80,t_GradeWeight[],2,FALSE),0)</f>
        <v>4</v>
      </c>
      <c r="Y80" s="231">
        <f>IF(E80&lt;&gt;"",VLOOKUP(E80,t_GradeWeight[],2,FALSE),0)</f>
        <v>4</v>
      </c>
      <c r="Z80" s="231">
        <f>IF(F80&lt;&gt;"",VLOOKUP(F80,t_GradeWeight[],2,FALSE),0)</f>
        <v>4</v>
      </c>
      <c r="AA80" s="231">
        <f>IF(G80&lt;&gt;"",VLOOKUP(G80,t_GradeWeight[],2,FALSE),0)</f>
        <v>4</v>
      </c>
      <c r="AB80" s="231">
        <f>IF(H80&lt;&gt;"",VLOOKUP(H80,t_GradeWeight[],2,FALSE),0)</f>
        <v>4</v>
      </c>
      <c r="AC80" s="231">
        <f>IF(I80&lt;&gt;"",VLOOKUP(I80,t_GradeWeight[],2,FALSE),0)</f>
        <v>4</v>
      </c>
      <c r="AD80" s="231">
        <f>IF(J80&lt;&gt;"",VLOOKUP(J80,t_GradeWeight[],2,FALSE),0)</f>
        <v>4</v>
      </c>
      <c r="AE80" s="231">
        <f>IF(K80&lt;&gt;"",VLOOKUP(K80,t_GradeWeight[],2,FALSE),0)</f>
        <v>4</v>
      </c>
      <c r="AF80" s="231">
        <f>IF(L80&lt;&gt;"",VLOOKUP(L80,t_GradeWeight[],2,FALSE),0)</f>
        <v>4</v>
      </c>
    </row>
    <row r="81" spans="1:32" ht="27" customHeight="1" outlineLevel="1">
      <c r="A81" s="177"/>
      <c r="B81" s="285" t="s">
        <v>582</v>
      </c>
      <c r="C81" s="283" t="s">
        <v>158</v>
      </c>
      <c r="D81" s="283" t="s">
        <v>546</v>
      </c>
      <c r="E81" s="283" t="s">
        <v>158</v>
      </c>
      <c r="F81" s="283" t="s">
        <v>158</v>
      </c>
      <c r="G81" s="283" t="s">
        <v>158</v>
      </c>
      <c r="H81" s="283" t="s">
        <v>158</v>
      </c>
      <c r="I81" s="283" t="s">
        <v>158</v>
      </c>
      <c r="J81" s="283" t="s">
        <v>158</v>
      </c>
      <c r="K81" s="283" t="s">
        <v>158</v>
      </c>
      <c r="L81" s="283" t="s">
        <v>158</v>
      </c>
      <c r="M81" s="345"/>
      <c r="N81" s="346"/>
      <c r="O81" s="346"/>
      <c r="P81" s="346"/>
      <c r="Q81" s="346"/>
      <c r="R81" s="346"/>
      <c r="S81" s="346"/>
      <c r="T81" s="347"/>
      <c r="U81" s="231" t="s">
        <v>326</v>
      </c>
      <c r="V81" s="231" t="s">
        <v>314</v>
      </c>
      <c r="W81" s="231">
        <f>IF($C81&lt;&gt;"",VLOOKUP(C81,t_GradeWeight[],2,FALSE),0)</f>
        <v>4</v>
      </c>
      <c r="X81" s="231">
        <f>IF(D81&lt;&gt;"",VLOOKUP(D81,t_GradeWeight[],2,FALSE),0)</f>
        <v>4</v>
      </c>
      <c r="Y81" s="231">
        <f>IF(E81&lt;&gt;"",VLOOKUP(E81,t_GradeWeight[],2,FALSE),0)</f>
        <v>4</v>
      </c>
      <c r="Z81" s="231">
        <f>IF(F81&lt;&gt;"",VLOOKUP(F81,t_GradeWeight[],2,FALSE),0)</f>
        <v>4</v>
      </c>
      <c r="AA81" s="231">
        <f>IF(G81&lt;&gt;"",VLOOKUP(G81,t_GradeWeight[],2,FALSE),0)</f>
        <v>4</v>
      </c>
      <c r="AB81" s="231">
        <f>IF(H81&lt;&gt;"",VLOOKUP(H81,t_GradeWeight[],2,FALSE),0)</f>
        <v>4</v>
      </c>
      <c r="AC81" s="231">
        <f>IF(I81&lt;&gt;"",VLOOKUP(I81,t_GradeWeight[],2,FALSE),0)</f>
        <v>4</v>
      </c>
      <c r="AD81" s="231">
        <f>IF(J81&lt;&gt;"",VLOOKUP(J81,t_GradeWeight[],2,FALSE),0)</f>
        <v>4</v>
      </c>
      <c r="AE81" s="231">
        <f>IF(K81&lt;&gt;"",VLOOKUP(K81,t_GradeWeight[],2,FALSE),0)</f>
        <v>4</v>
      </c>
      <c r="AF81" s="231">
        <f>IF(L81&lt;&gt;"",VLOOKUP(L81,t_GradeWeight[],2,FALSE),0)</f>
        <v>4</v>
      </c>
    </row>
    <row r="82" spans="1:32">
      <c r="A82" s="177"/>
      <c r="B82" s="218" t="s">
        <v>311</v>
      </c>
      <c r="C82" s="224">
        <v>1</v>
      </c>
      <c r="D82" s="224">
        <v>2</v>
      </c>
      <c r="E82" s="224">
        <v>3</v>
      </c>
      <c r="F82" s="224">
        <v>4</v>
      </c>
      <c r="G82" s="224">
        <v>5</v>
      </c>
      <c r="H82" s="224">
        <v>6</v>
      </c>
      <c r="I82" s="224">
        <v>7</v>
      </c>
      <c r="J82" s="224">
        <v>8</v>
      </c>
      <c r="K82" s="224">
        <v>9</v>
      </c>
      <c r="L82" s="224">
        <v>10</v>
      </c>
      <c r="M82" s="330" t="s">
        <v>389</v>
      </c>
      <c r="N82" s="331"/>
      <c r="O82" s="331"/>
      <c r="P82" s="331"/>
      <c r="Q82" s="331"/>
      <c r="R82" s="331"/>
      <c r="S82" s="331"/>
      <c r="T82" s="332"/>
      <c r="U82" s="232"/>
      <c r="V82" s="233"/>
      <c r="W82" s="233"/>
      <c r="X82" s="233"/>
      <c r="Y82" s="233"/>
      <c r="Z82" s="233"/>
      <c r="AA82" s="233"/>
      <c r="AB82" s="233"/>
      <c r="AC82" s="233"/>
      <c r="AD82" s="233"/>
      <c r="AE82" s="233"/>
      <c r="AF82" s="233"/>
    </row>
    <row r="83" spans="1:32" ht="27" customHeight="1" outlineLevel="1">
      <c r="A83" s="177"/>
      <c r="B83" s="285" t="s">
        <v>550</v>
      </c>
      <c r="C83" s="283" t="s">
        <v>158</v>
      </c>
      <c r="D83" s="283" t="s">
        <v>546</v>
      </c>
      <c r="E83" s="283" t="s">
        <v>158</v>
      </c>
      <c r="F83" s="283" t="s">
        <v>158</v>
      </c>
      <c r="G83" s="283" t="s">
        <v>158</v>
      </c>
      <c r="H83" s="283" t="s">
        <v>158</v>
      </c>
      <c r="I83" s="283" t="s">
        <v>158</v>
      </c>
      <c r="J83" s="283" t="s">
        <v>158</v>
      </c>
      <c r="K83" s="283" t="s">
        <v>158</v>
      </c>
      <c r="L83" s="283" t="s">
        <v>158</v>
      </c>
      <c r="M83" s="345"/>
      <c r="N83" s="346"/>
      <c r="O83" s="346"/>
      <c r="P83" s="346"/>
      <c r="Q83" s="346"/>
      <c r="R83" s="346"/>
      <c r="S83" s="346"/>
      <c r="T83" s="347"/>
      <c r="U83" s="231" t="s">
        <v>311</v>
      </c>
      <c r="V83" s="231" t="s">
        <v>314</v>
      </c>
      <c r="W83" s="231">
        <f>IF(C83&lt;&gt;"",VLOOKUP(C83,t_GradeWeight[],2,FALSE),0)</f>
        <v>4</v>
      </c>
      <c r="X83" s="231">
        <f>IF(D83&lt;&gt;"",VLOOKUP(D83,t_GradeWeight[],2,FALSE),0)</f>
        <v>4</v>
      </c>
      <c r="Y83" s="231">
        <f>IF(E83&lt;&gt;"",VLOOKUP(E83,t_GradeWeight[],2,FALSE),0)</f>
        <v>4</v>
      </c>
      <c r="Z83" s="231">
        <f>IF(F83&lt;&gt;"",VLOOKUP(F83,t_GradeWeight[],2,FALSE),0)</f>
        <v>4</v>
      </c>
      <c r="AA83" s="231">
        <f>IF(G83&lt;&gt;"",VLOOKUP(G83,t_GradeWeight[],2,FALSE),0)</f>
        <v>4</v>
      </c>
      <c r="AB83" s="231">
        <f>IF(H83&lt;&gt;"",VLOOKUP(H83,t_GradeWeight[],2,FALSE),0)</f>
        <v>4</v>
      </c>
      <c r="AC83" s="231">
        <f>IF(I83&lt;&gt;"",VLOOKUP(I83,t_GradeWeight[],2,FALSE),0)</f>
        <v>4</v>
      </c>
      <c r="AD83" s="231">
        <f>IF(J83&lt;&gt;"",VLOOKUP(J83,t_GradeWeight[],2,FALSE),0)</f>
        <v>4</v>
      </c>
      <c r="AE83" s="231">
        <f>IF(K83&lt;&gt;"",VLOOKUP(K83,t_GradeWeight[],2,FALSE),0)</f>
        <v>4</v>
      </c>
      <c r="AF83" s="231">
        <f>IF(L83&lt;&gt;"",VLOOKUP(L83,t_GradeWeight[],2,FALSE),0)</f>
        <v>4</v>
      </c>
    </row>
    <row r="84" spans="1:32" ht="27" customHeight="1" outlineLevel="1">
      <c r="A84" s="177"/>
      <c r="B84" s="285" t="s">
        <v>554</v>
      </c>
      <c r="C84" s="283" t="s">
        <v>158</v>
      </c>
      <c r="D84" s="283" t="s">
        <v>546</v>
      </c>
      <c r="E84" s="283" t="s">
        <v>158</v>
      </c>
      <c r="F84" s="283" t="s">
        <v>158</v>
      </c>
      <c r="G84" s="283" t="s">
        <v>158</v>
      </c>
      <c r="H84" s="283" t="s">
        <v>158</v>
      </c>
      <c r="I84" s="283" t="s">
        <v>158</v>
      </c>
      <c r="J84" s="283" t="s">
        <v>158</v>
      </c>
      <c r="K84" s="283" t="s">
        <v>158</v>
      </c>
      <c r="L84" s="283" t="s">
        <v>158</v>
      </c>
      <c r="M84" s="345"/>
      <c r="N84" s="346"/>
      <c r="O84" s="346"/>
      <c r="P84" s="346"/>
      <c r="Q84" s="346"/>
      <c r="R84" s="346"/>
      <c r="S84" s="346"/>
      <c r="T84" s="347"/>
      <c r="U84" s="231" t="str">
        <f t="shared" ref="U84:U92" si="10">$B$82</f>
        <v>TEAM</v>
      </c>
      <c r="V84" s="231" t="s">
        <v>311</v>
      </c>
      <c r="W84" s="231">
        <f>IF($C84&lt;&gt;"",VLOOKUP(C84,t_GradeWeight[],2,FALSE),0)</f>
        <v>4</v>
      </c>
      <c r="X84" s="231">
        <f>IF(D84&lt;&gt;"",VLOOKUP(D84,t_GradeWeight[],2,FALSE),0)</f>
        <v>4</v>
      </c>
      <c r="Y84" s="231">
        <f>IF(E84&lt;&gt;"",VLOOKUP(E84,t_GradeWeight[],2,FALSE),0)</f>
        <v>4</v>
      </c>
      <c r="Z84" s="231">
        <f>IF(F84&lt;&gt;"",VLOOKUP(F84,t_GradeWeight[],2,FALSE),0)</f>
        <v>4</v>
      </c>
      <c r="AA84" s="231">
        <f>IF(G84&lt;&gt;"",VLOOKUP(G84,t_GradeWeight[],2,FALSE),0)</f>
        <v>4</v>
      </c>
      <c r="AB84" s="231">
        <f>IF(H84&lt;&gt;"",VLOOKUP(H84,t_GradeWeight[],2,FALSE),0)</f>
        <v>4</v>
      </c>
      <c r="AC84" s="231">
        <f>IF(I84&lt;&gt;"",VLOOKUP(I84,t_GradeWeight[],2,FALSE),0)</f>
        <v>4</v>
      </c>
      <c r="AD84" s="231">
        <f>IF(J84&lt;&gt;"",VLOOKUP(J84,t_GradeWeight[],2,FALSE),0)</f>
        <v>4</v>
      </c>
      <c r="AE84" s="231">
        <f>IF(K84&lt;&gt;"",VLOOKUP(K84,t_GradeWeight[],2,FALSE),0)</f>
        <v>4</v>
      </c>
      <c r="AF84" s="231">
        <f>IF(L84&lt;&gt;"",VLOOKUP(L84,t_GradeWeight[],2,FALSE),0)</f>
        <v>4</v>
      </c>
    </row>
    <row r="85" spans="1:32" ht="27" customHeight="1" outlineLevel="1">
      <c r="A85" s="177"/>
      <c r="B85" s="285" t="s">
        <v>565</v>
      </c>
      <c r="C85" s="283" t="s">
        <v>158</v>
      </c>
      <c r="D85" s="283" t="s">
        <v>546</v>
      </c>
      <c r="E85" s="283" t="s">
        <v>158</v>
      </c>
      <c r="F85" s="283" t="s">
        <v>158</v>
      </c>
      <c r="G85" s="283" t="s">
        <v>158</v>
      </c>
      <c r="H85" s="283" t="s">
        <v>158</v>
      </c>
      <c r="I85" s="283" t="s">
        <v>158</v>
      </c>
      <c r="J85" s="283" t="s">
        <v>158</v>
      </c>
      <c r="K85" s="283" t="s">
        <v>158</v>
      </c>
      <c r="L85" s="283" t="s">
        <v>158</v>
      </c>
      <c r="M85" s="345"/>
      <c r="N85" s="346"/>
      <c r="O85" s="346"/>
      <c r="P85" s="346"/>
      <c r="Q85" s="346"/>
      <c r="R85" s="346"/>
      <c r="S85" s="346"/>
      <c r="T85" s="347"/>
      <c r="U85" s="231" t="str">
        <f t="shared" si="10"/>
        <v>TEAM</v>
      </c>
      <c r="V85" s="231" t="s">
        <v>309</v>
      </c>
      <c r="W85" s="231">
        <f>IF($C85&lt;&gt;"",VLOOKUP(C85,t_GradeWeight[],2,FALSE),0)</f>
        <v>4</v>
      </c>
      <c r="X85" s="231">
        <f>IF(D85&lt;&gt;"",VLOOKUP(D85,t_GradeWeight[],2,FALSE),0)</f>
        <v>4</v>
      </c>
      <c r="Y85" s="231">
        <f>IF(E85&lt;&gt;"",VLOOKUP(E85,t_GradeWeight[],2,FALSE),0)</f>
        <v>4</v>
      </c>
      <c r="Z85" s="231">
        <f>IF(F85&lt;&gt;"",VLOOKUP(F85,t_GradeWeight[],2,FALSE),0)</f>
        <v>4</v>
      </c>
      <c r="AA85" s="231">
        <f>IF(G85&lt;&gt;"",VLOOKUP(G85,t_GradeWeight[],2,FALSE),0)</f>
        <v>4</v>
      </c>
      <c r="AB85" s="231">
        <f>IF(H85&lt;&gt;"",VLOOKUP(H85,t_GradeWeight[],2,FALSE),0)</f>
        <v>4</v>
      </c>
      <c r="AC85" s="231">
        <f>IF(I85&lt;&gt;"",VLOOKUP(I85,t_GradeWeight[],2,FALSE),0)</f>
        <v>4</v>
      </c>
      <c r="AD85" s="231">
        <f>IF(J85&lt;&gt;"",VLOOKUP(J85,t_GradeWeight[],2,FALSE),0)</f>
        <v>4</v>
      </c>
      <c r="AE85" s="231">
        <f>IF(K85&lt;&gt;"",VLOOKUP(K85,t_GradeWeight[],2,FALSE),0)</f>
        <v>4</v>
      </c>
      <c r="AF85" s="231">
        <f>IF(L85&lt;&gt;"",VLOOKUP(L85,t_GradeWeight[],2,FALSE),0)</f>
        <v>4</v>
      </c>
    </row>
    <row r="86" spans="1:32" ht="27" customHeight="1" outlineLevel="1">
      <c r="A86" s="177"/>
      <c r="B86" s="285" t="s">
        <v>576</v>
      </c>
      <c r="C86" s="283" t="s">
        <v>158</v>
      </c>
      <c r="D86" s="283" t="s">
        <v>546</v>
      </c>
      <c r="E86" s="283" t="s">
        <v>158</v>
      </c>
      <c r="F86" s="283" t="s">
        <v>158</v>
      </c>
      <c r="G86" s="283" t="s">
        <v>158</v>
      </c>
      <c r="H86" s="283" t="s">
        <v>158</v>
      </c>
      <c r="I86" s="283" t="s">
        <v>158</v>
      </c>
      <c r="J86" s="283" t="s">
        <v>158</v>
      </c>
      <c r="K86" s="283" t="s">
        <v>158</v>
      </c>
      <c r="L86" s="283" t="s">
        <v>158</v>
      </c>
      <c r="M86" s="345"/>
      <c r="N86" s="346"/>
      <c r="O86" s="346"/>
      <c r="P86" s="346"/>
      <c r="Q86" s="346"/>
      <c r="R86" s="346"/>
      <c r="S86" s="346"/>
      <c r="T86" s="347"/>
      <c r="U86" s="231" t="str">
        <f t="shared" si="10"/>
        <v>TEAM</v>
      </c>
      <c r="V86" s="231" t="s">
        <v>309</v>
      </c>
      <c r="W86" s="231">
        <f>IF($C86&lt;&gt;"",VLOOKUP(C86,t_GradeWeight[],2,FALSE),0)</f>
        <v>4</v>
      </c>
      <c r="X86" s="231">
        <f>IF(D86&lt;&gt;"",VLOOKUP(D86,t_GradeWeight[],2,FALSE),0)</f>
        <v>4</v>
      </c>
      <c r="Y86" s="231">
        <f>IF(E86&lt;&gt;"",VLOOKUP(E86,t_GradeWeight[],2,FALSE),0)</f>
        <v>4</v>
      </c>
      <c r="Z86" s="231">
        <f>IF(F86&lt;&gt;"",VLOOKUP(F86,t_GradeWeight[],2,FALSE),0)</f>
        <v>4</v>
      </c>
      <c r="AA86" s="231">
        <f>IF(G86&lt;&gt;"",VLOOKUP(G86,t_GradeWeight[],2,FALSE),0)</f>
        <v>4</v>
      </c>
      <c r="AB86" s="231">
        <f>IF(H86&lt;&gt;"",VLOOKUP(H86,t_GradeWeight[],2,FALSE),0)</f>
        <v>4</v>
      </c>
      <c r="AC86" s="231">
        <f>IF(I86&lt;&gt;"",VLOOKUP(I86,t_GradeWeight[],2,FALSE),0)</f>
        <v>4</v>
      </c>
      <c r="AD86" s="231">
        <f>IF(J86&lt;&gt;"",VLOOKUP(J86,t_GradeWeight[],2,FALSE),0)</f>
        <v>4</v>
      </c>
      <c r="AE86" s="231">
        <f>IF(K86&lt;&gt;"",VLOOKUP(K86,t_GradeWeight[],2,FALSE),0)</f>
        <v>4</v>
      </c>
      <c r="AF86" s="231">
        <f>IF(L86&lt;&gt;"",VLOOKUP(L86,t_GradeWeight[],2,FALSE),0)</f>
        <v>4</v>
      </c>
    </row>
    <row r="87" spans="1:32" ht="27" customHeight="1" outlineLevel="1">
      <c r="A87" s="177"/>
      <c r="B87" s="285" t="s">
        <v>573</v>
      </c>
      <c r="C87" s="283" t="s">
        <v>158</v>
      </c>
      <c r="D87" s="283" t="s">
        <v>546</v>
      </c>
      <c r="E87" s="283" t="s">
        <v>158</v>
      </c>
      <c r="F87" s="283" t="s">
        <v>158</v>
      </c>
      <c r="G87" s="283" t="s">
        <v>158</v>
      </c>
      <c r="H87" s="283" t="s">
        <v>158</v>
      </c>
      <c r="I87" s="283" t="s">
        <v>158</v>
      </c>
      <c r="J87" s="283" t="s">
        <v>158</v>
      </c>
      <c r="K87" s="283" t="s">
        <v>158</v>
      </c>
      <c r="L87" s="283" t="s">
        <v>158</v>
      </c>
      <c r="M87" s="345"/>
      <c r="N87" s="346"/>
      <c r="O87" s="346"/>
      <c r="P87" s="346"/>
      <c r="Q87" s="346"/>
      <c r="R87" s="346"/>
      <c r="S87" s="346"/>
      <c r="T87" s="347"/>
      <c r="U87" s="231" t="str">
        <f t="shared" si="10"/>
        <v>TEAM</v>
      </c>
      <c r="V87" s="231" t="s">
        <v>309</v>
      </c>
      <c r="W87" s="231">
        <f>IF($C87&lt;&gt;"",VLOOKUP(C87,t_GradeWeight[],2,FALSE),0)</f>
        <v>4</v>
      </c>
      <c r="X87" s="231">
        <f>IF(D87&lt;&gt;"",VLOOKUP(D87,t_GradeWeight[],2,FALSE),0)</f>
        <v>4</v>
      </c>
      <c r="Y87" s="231">
        <f>IF(E87&lt;&gt;"",VLOOKUP(E87,t_GradeWeight[],2,FALSE),0)</f>
        <v>4</v>
      </c>
      <c r="Z87" s="231">
        <f>IF(F87&lt;&gt;"",VLOOKUP(F87,t_GradeWeight[],2,FALSE),0)</f>
        <v>4</v>
      </c>
      <c r="AA87" s="231">
        <f>IF(G87&lt;&gt;"",VLOOKUP(G87,t_GradeWeight[],2,FALSE),0)</f>
        <v>4</v>
      </c>
      <c r="AB87" s="231">
        <f>IF(H87&lt;&gt;"",VLOOKUP(H87,t_GradeWeight[],2,FALSE),0)</f>
        <v>4</v>
      </c>
      <c r="AC87" s="231">
        <f>IF(I87&lt;&gt;"",VLOOKUP(I87,t_GradeWeight[],2,FALSE),0)</f>
        <v>4</v>
      </c>
      <c r="AD87" s="231">
        <f>IF(J87&lt;&gt;"",VLOOKUP(J87,t_GradeWeight[],2,FALSE),0)</f>
        <v>4</v>
      </c>
      <c r="AE87" s="231">
        <f>IF(K87&lt;&gt;"",VLOOKUP(K87,t_GradeWeight[],2,FALSE),0)</f>
        <v>4</v>
      </c>
      <c r="AF87" s="231">
        <f>IF(L87&lt;&gt;"",VLOOKUP(L87,t_GradeWeight[],2,FALSE),0)</f>
        <v>4</v>
      </c>
    </row>
    <row r="88" spans="1:32" ht="27" customHeight="1" outlineLevel="1">
      <c r="A88" s="177"/>
      <c r="B88" s="285" t="s">
        <v>551</v>
      </c>
      <c r="C88" s="283" t="s">
        <v>158</v>
      </c>
      <c r="D88" s="283" t="s">
        <v>546</v>
      </c>
      <c r="E88" s="283" t="s">
        <v>158</v>
      </c>
      <c r="F88" s="283" t="s">
        <v>158</v>
      </c>
      <c r="G88" s="283" t="s">
        <v>158</v>
      </c>
      <c r="H88" s="283" t="s">
        <v>158</v>
      </c>
      <c r="I88" s="283" t="s">
        <v>158</v>
      </c>
      <c r="J88" s="283" t="s">
        <v>158</v>
      </c>
      <c r="K88" s="283" t="s">
        <v>158</v>
      </c>
      <c r="L88" s="283" t="s">
        <v>158</v>
      </c>
      <c r="M88" s="345"/>
      <c r="N88" s="346"/>
      <c r="O88" s="346"/>
      <c r="P88" s="346"/>
      <c r="Q88" s="346"/>
      <c r="R88" s="346"/>
      <c r="S88" s="346"/>
      <c r="T88" s="347"/>
      <c r="U88" s="231" t="str">
        <f t="shared" si="10"/>
        <v>TEAM</v>
      </c>
      <c r="V88" s="231" t="s">
        <v>309</v>
      </c>
      <c r="W88" s="231">
        <f>IF($C88&lt;&gt;"",VLOOKUP(C88,t_GradeWeight[],2,FALSE),0)</f>
        <v>4</v>
      </c>
      <c r="X88" s="231">
        <f>IF(D88&lt;&gt;"",VLOOKUP(D88,t_GradeWeight[],2,FALSE),0)</f>
        <v>4</v>
      </c>
      <c r="Y88" s="231">
        <f>IF(E88&lt;&gt;"",VLOOKUP(E88,t_GradeWeight[],2,FALSE),0)</f>
        <v>4</v>
      </c>
      <c r="Z88" s="231">
        <f>IF(F88&lt;&gt;"",VLOOKUP(F88,t_GradeWeight[],2,FALSE),0)</f>
        <v>4</v>
      </c>
      <c r="AA88" s="231">
        <f>IF(G88&lt;&gt;"",VLOOKUP(G88,t_GradeWeight[],2,FALSE),0)</f>
        <v>4</v>
      </c>
      <c r="AB88" s="231">
        <f>IF(H88&lt;&gt;"",VLOOKUP(H88,t_GradeWeight[],2,FALSE),0)</f>
        <v>4</v>
      </c>
      <c r="AC88" s="231">
        <f>IF(I88&lt;&gt;"",VLOOKUP(I88,t_GradeWeight[],2,FALSE),0)</f>
        <v>4</v>
      </c>
      <c r="AD88" s="231">
        <f>IF(J88&lt;&gt;"",VLOOKUP(J88,t_GradeWeight[],2,FALSE),0)</f>
        <v>4</v>
      </c>
      <c r="AE88" s="231">
        <f>IF(K88&lt;&gt;"",VLOOKUP(K88,t_GradeWeight[],2,FALSE),0)</f>
        <v>4</v>
      </c>
      <c r="AF88" s="231">
        <f>IF(L88&lt;&gt;"",VLOOKUP(L88,t_GradeWeight[],2,FALSE),0)</f>
        <v>4</v>
      </c>
    </row>
    <row r="89" spans="1:32" ht="27" customHeight="1" outlineLevel="1">
      <c r="A89" s="177"/>
      <c r="B89" s="285" t="s">
        <v>563</v>
      </c>
      <c r="C89" s="283" t="s">
        <v>158</v>
      </c>
      <c r="D89" s="283" t="s">
        <v>546</v>
      </c>
      <c r="E89" s="283" t="s">
        <v>158</v>
      </c>
      <c r="F89" s="283" t="s">
        <v>158</v>
      </c>
      <c r="G89" s="283" t="s">
        <v>158</v>
      </c>
      <c r="H89" s="283" t="s">
        <v>158</v>
      </c>
      <c r="I89" s="283" t="s">
        <v>158</v>
      </c>
      <c r="J89" s="283" t="s">
        <v>158</v>
      </c>
      <c r="K89" s="283" t="s">
        <v>158</v>
      </c>
      <c r="L89" s="283" t="s">
        <v>158</v>
      </c>
      <c r="M89" s="345"/>
      <c r="N89" s="346"/>
      <c r="O89" s="346"/>
      <c r="P89" s="346"/>
      <c r="Q89" s="346"/>
      <c r="R89" s="346"/>
      <c r="S89" s="346"/>
      <c r="T89" s="347"/>
      <c r="U89" s="231" t="str">
        <f t="shared" si="10"/>
        <v>TEAM</v>
      </c>
      <c r="V89" s="231" t="s">
        <v>311</v>
      </c>
      <c r="W89" s="231">
        <f>IF($C89&lt;&gt;"",VLOOKUP(C89,t_GradeWeight[],2,FALSE),0)</f>
        <v>4</v>
      </c>
      <c r="X89" s="231">
        <f>IF(D89&lt;&gt;"",VLOOKUP(D89,t_GradeWeight[],2,FALSE),0)</f>
        <v>4</v>
      </c>
      <c r="Y89" s="231">
        <f>IF(E89&lt;&gt;"",VLOOKUP(E89,t_GradeWeight[],2,FALSE),0)</f>
        <v>4</v>
      </c>
      <c r="Z89" s="231">
        <f>IF(F89&lt;&gt;"",VLOOKUP(F89,t_GradeWeight[],2,FALSE),0)</f>
        <v>4</v>
      </c>
      <c r="AA89" s="231">
        <f>IF(G89&lt;&gt;"",VLOOKUP(G89,t_GradeWeight[],2,FALSE),0)</f>
        <v>4</v>
      </c>
      <c r="AB89" s="231">
        <f>IF(H89&lt;&gt;"",VLOOKUP(H89,t_GradeWeight[],2,FALSE),0)</f>
        <v>4</v>
      </c>
      <c r="AC89" s="231">
        <f>IF(I89&lt;&gt;"",VLOOKUP(I89,t_GradeWeight[],2,FALSE),0)</f>
        <v>4</v>
      </c>
      <c r="AD89" s="231">
        <f>IF(J89&lt;&gt;"",VLOOKUP(J89,t_GradeWeight[],2,FALSE),0)</f>
        <v>4</v>
      </c>
      <c r="AE89" s="231">
        <f>IF(K89&lt;&gt;"",VLOOKUP(K89,t_GradeWeight[],2,FALSE),0)</f>
        <v>4</v>
      </c>
      <c r="AF89" s="231">
        <f>IF(L89&lt;&gt;"",VLOOKUP(L89,t_GradeWeight[],2,FALSE),0)</f>
        <v>4</v>
      </c>
    </row>
    <row r="90" spans="1:32" ht="27" customHeight="1" outlineLevel="1">
      <c r="A90" s="177"/>
      <c r="B90" s="285" t="s">
        <v>578</v>
      </c>
      <c r="C90" s="283" t="s">
        <v>158</v>
      </c>
      <c r="D90" s="283" t="s">
        <v>546</v>
      </c>
      <c r="E90" s="283" t="s">
        <v>158</v>
      </c>
      <c r="F90" s="283" t="s">
        <v>158</v>
      </c>
      <c r="G90" s="283" t="s">
        <v>158</v>
      </c>
      <c r="H90" s="283" t="s">
        <v>158</v>
      </c>
      <c r="I90" s="283" t="s">
        <v>158</v>
      </c>
      <c r="J90" s="283" t="s">
        <v>158</v>
      </c>
      <c r="K90" s="283" t="s">
        <v>158</v>
      </c>
      <c r="L90" s="283" t="s">
        <v>158</v>
      </c>
      <c r="M90" s="345"/>
      <c r="N90" s="346"/>
      <c r="O90" s="346"/>
      <c r="P90" s="346"/>
      <c r="Q90" s="346"/>
      <c r="R90" s="346"/>
      <c r="S90" s="346"/>
      <c r="T90" s="347"/>
      <c r="U90" s="231" t="str">
        <f t="shared" si="10"/>
        <v>TEAM</v>
      </c>
      <c r="V90" s="231" t="s">
        <v>311</v>
      </c>
      <c r="W90" s="231">
        <f>IF($C90&lt;&gt;"",VLOOKUP(C90,t_GradeWeight[],2,FALSE),0)</f>
        <v>4</v>
      </c>
      <c r="X90" s="231">
        <f>IF(D90&lt;&gt;"",VLOOKUP(D90,t_GradeWeight[],2,FALSE),0)</f>
        <v>4</v>
      </c>
      <c r="Y90" s="231">
        <f>IF(E90&lt;&gt;"",VLOOKUP(E90,t_GradeWeight[],2,FALSE),0)</f>
        <v>4</v>
      </c>
      <c r="Z90" s="231">
        <f>IF(F90&lt;&gt;"",VLOOKUP(F90,t_GradeWeight[],2,FALSE),0)</f>
        <v>4</v>
      </c>
      <c r="AA90" s="231">
        <f>IF(G90&lt;&gt;"",VLOOKUP(G90,t_GradeWeight[],2,FALSE),0)</f>
        <v>4</v>
      </c>
      <c r="AB90" s="231">
        <f>IF(H90&lt;&gt;"",VLOOKUP(H90,t_GradeWeight[],2,FALSE),0)</f>
        <v>4</v>
      </c>
      <c r="AC90" s="231">
        <f>IF(I90&lt;&gt;"",VLOOKUP(I90,t_GradeWeight[],2,FALSE),0)</f>
        <v>4</v>
      </c>
      <c r="AD90" s="231">
        <f>IF(J90&lt;&gt;"",VLOOKUP(J90,t_GradeWeight[],2,FALSE),0)</f>
        <v>4</v>
      </c>
      <c r="AE90" s="231">
        <f>IF(K90&lt;&gt;"",VLOOKUP(K90,t_GradeWeight[],2,FALSE),0)</f>
        <v>4</v>
      </c>
      <c r="AF90" s="231">
        <f>IF(L90&lt;&gt;"",VLOOKUP(L90,t_GradeWeight[],2,FALSE),0)</f>
        <v>4</v>
      </c>
    </row>
    <row r="91" spans="1:32" ht="27" customHeight="1" outlineLevel="1">
      <c r="A91" s="177"/>
      <c r="B91" s="285" t="s">
        <v>409</v>
      </c>
      <c r="C91" s="283" t="s">
        <v>158</v>
      </c>
      <c r="D91" s="283" t="s">
        <v>546</v>
      </c>
      <c r="E91" s="283" t="s">
        <v>158</v>
      </c>
      <c r="F91" s="283" t="s">
        <v>158</v>
      </c>
      <c r="G91" s="283" t="s">
        <v>158</v>
      </c>
      <c r="H91" s="283" t="s">
        <v>158</v>
      </c>
      <c r="I91" s="283" t="s">
        <v>158</v>
      </c>
      <c r="J91" s="283" t="s">
        <v>158</v>
      </c>
      <c r="K91" s="283" t="s">
        <v>158</v>
      </c>
      <c r="L91" s="283" t="s">
        <v>158</v>
      </c>
      <c r="M91" s="345"/>
      <c r="N91" s="346"/>
      <c r="O91" s="346"/>
      <c r="P91" s="346"/>
      <c r="Q91" s="346"/>
      <c r="R91" s="346"/>
      <c r="S91" s="346"/>
      <c r="T91" s="347"/>
      <c r="U91" s="231" t="str">
        <f t="shared" si="10"/>
        <v>TEAM</v>
      </c>
      <c r="V91" s="231" t="s">
        <v>311</v>
      </c>
      <c r="W91" s="231">
        <f>IF($C91&lt;&gt;"",VLOOKUP(C91,t_GradeWeight[],2,FALSE),0)</f>
        <v>4</v>
      </c>
      <c r="X91" s="231">
        <f>IF(D91&lt;&gt;"",VLOOKUP(D91,t_GradeWeight[],2,FALSE),0)</f>
        <v>4</v>
      </c>
      <c r="Y91" s="231">
        <f>IF(E91&lt;&gt;"",VLOOKUP(E91,t_GradeWeight[],2,FALSE),0)</f>
        <v>4</v>
      </c>
      <c r="Z91" s="231">
        <f>IF(F91&lt;&gt;"",VLOOKUP(F91,t_GradeWeight[],2,FALSE),0)</f>
        <v>4</v>
      </c>
      <c r="AA91" s="231">
        <f>IF(G91&lt;&gt;"",VLOOKUP(G91,t_GradeWeight[],2,FALSE),0)</f>
        <v>4</v>
      </c>
      <c r="AB91" s="231">
        <f>IF(H91&lt;&gt;"",VLOOKUP(H91,t_GradeWeight[],2,FALSE),0)</f>
        <v>4</v>
      </c>
      <c r="AC91" s="231">
        <f>IF(I91&lt;&gt;"",VLOOKUP(I91,t_GradeWeight[],2,FALSE),0)</f>
        <v>4</v>
      </c>
      <c r="AD91" s="231">
        <f>IF(J91&lt;&gt;"",VLOOKUP(J91,t_GradeWeight[],2,FALSE),0)</f>
        <v>4</v>
      </c>
      <c r="AE91" s="231">
        <f>IF(K91&lt;&gt;"",VLOOKUP(K91,t_GradeWeight[],2,FALSE),0)</f>
        <v>4</v>
      </c>
      <c r="AF91" s="231">
        <f>IF(L91&lt;&gt;"",VLOOKUP(L91,t_GradeWeight[],2,FALSE),0)</f>
        <v>4</v>
      </c>
    </row>
    <row r="92" spans="1:32" ht="27" customHeight="1" outlineLevel="1">
      <c r="A92" s="177"/>
      <c r="B92" s="285" t="s">
        <v>552</v>
      </c>
      <c r="C92" s="283" t="s">
        <v>158</v>
      </c>
      <c r="D92" s="283" t="s">
        <v>546</v>
      </c>
      <c r="E92" s="283" t="s">
        <v>158</v>
      </c>
      <c r="F92" s="283" t="s">
        <v>158</v>
      </c>
      <c r="G92" s="283" t="s">
        <v>158</v>
      </c>
      <c r="H92" s="283" t="s">
        <v>158</v>
      </c>
      <c r="I92" s="283" t="s">
        <v>158</v>
      </c>
      <c r="J92" s="283" t="s">
        <v>158</v>
      </c>
      <c r="K92" s="283" t="s">
        <v>158</v>
      </c>
      <c r="L92" s="283" t="s">
        <v>158</v>
      </c>
      <c r="M92" s="345"/>
      <c r="N92" s="346"/>
      <c r="O92" s="346"/>
      <c r="P92" s="346"/>
      <c r="Q92" s="346"/>
      <c r="R92" s="346"/>
      <c r="S92" s="346"/>
      <c r="T92" s="347"/>
      <c r="U92" s="231" t="str">
        <f t="shared" si="10"/>
        <v>TEAM</v>
      </c>
      <c r="V92" s="231" t="s">
        <v>311</v>
      </c>
      <c r="W92" s="231">
        <f>IF($C92&lt;&gt;"",VLOOKUP(C92,t_GradeWeight[],2,FALSE),0)</f>
        <v>4</v>
      </c>
      <c r="X92" s="231">
        <f>IF(D92&lt;&gt;"",VLOOKUP(D92,t_GradeWeight[],2,FALSE),0)</f>
        <v>4</v>
      </c>
      <c r="Y92" s="231">
        <f>IF(E92&lt;&gt;"",VLOOKUP(E92,t_GradeWeight[],2,FALSE),0)</f>
        <v>4</v>
      </c>
      <c r="Z92" s="231">
        <f>IF(F92&lt;&gt;"",VLOOKUP(F92,t_GradeWeight[],2,FALSE),0)</f>
        <v>4</v>
      </c>
      <c r="AA92" s="231">
        <f>IF(G92&lt;&gt;"",VLOOKUP(G92,t_GradeWeight[],2,FALSE),0)</f>
        <v>4</v>
      </c>
      <c r="AB92" s="231">
        <f>IF(H92&lt;&gt;"",VLOOKUP(H92,t_GradeWeight[],2,FALSE),0)</f>
        <v>4</v>
      </c>
      <c r="AC92" s="231">
        <f>IF(I92&lt;&gt;"",VLOOKUP(I92,t_GradeWeight[],2,FALSE),0)</f>
        <v>4</v>
      </c>
      <c r="AD92" s="231">
        <f>IF(J92&lt;&gt;"",VLOOKUP(J92,t_GradeWeight[],2,FALSE),0)</f>
        <v>4</v>
      </c>
      <c r="AE92" s="231">
        <f>IF(K92&lt;&gt;"",VLOOKUP(K92,t_GradeWeight[],2,FALSE),0)</f>
        <v>4</v>
      </c>
      <c r="AF92" s="231">
        <f>IF(L92&lt;&gt;"",VLOOKUP(L92,t_GradeWeight[],2,FALSE),0)</f>
        <v>4</v>
      </c>
    </row>
    <row r="93" spans="1:32">
      <c r="A93" s="177"/>
      <c r="B93" s="218" t="s">
        <v>156</v>
      </c>
      <c r="C93" s="224">
        <v>1</v>
      </c>
      <c r="D93" s="224">
        <v>2</v>
      </c>
      <c r="E93" s="224">
        <v>3</v>
      </c>
      <c r="F93" s="224">
        <v>4</v>
      </c>
      <c r="G93" s="224">
        <v>5</v>
      </c>
      <c r="H93" s="224">
        <v>6</v>
      </c>
      <c r="I93" s="224">
        <v>7</v>
      </c>
      <c r="J93" s="224">
        <v>8</v>
      </c>
      <c r="K93" s="224">
        <v>9</v>
      </c>
      <c r="L93" s="224">
        <v>10</v>
      </c>
      <c r="M93" s="330" t="s">
        <v>389</v>
      </c>
      <c r="N93" s="331"/>
      <c r="O93" s="331"/>
      <c r="P93" s="331"/>
      <c r="Q93" s="331"/>
      <c r="R93" s="331"/>
      <c r="S93" s="331"/>
      <c r="T93" s="332"/>
      <c r="U93" s="232"/>
      <c r="V93" s="233"/>
      <c r="W93" s="233"/>
      <c r="X93" s="233"/>
      <c r="Y93" s="233"/>
      <c r="Z93" s="233"/>
      <c r="AA93" s="233"/>
      <c r="AB93" s="233"/>
      <c r="AC93" s="233"/>
      <c r="AD93" s="233"/>
      <c r="AE93" s="233"/>
      <c r="AF93" s="233"/>
    </row>
    <row r="94" spans="1:32" ht="27" customHeight="1" outlineLevel="1">
      <c r="A94" s="177"/>
      <c r="B94" s="285" t="s">
        <v>566</v>
      </c>
      <c r="C94" s="283" t="s">
        <v>158</v>
      </c>
      <c r="D94" s="283" t="s">
        <v>546</v>
      </c>
      <c r="E94" s="283" t="s">
        <v>158</v>
      </c>
      <c r="F94" s="283" t="s">
        <v>158</v>
      </c>
      <c r="G94" s="283" t="s">
        <v>158</v>
      </c>
      <c r="H94" s="283" t="s">
        <v>158</v>
      </c>
      <c r="I94" s="283" t="s">
        <v>158</v>
      </c>
      <c r="J94" s="283" t="s">
        <v>158</v>
      </c>
      <c r="K94" s="283" t="s">
        <v>158</v>
      </c>
      <c r="L94" s="283" t="s">
        <v>158</v>
      </c>
      <c r="M94" s="345"/>
      <c r="N94" s="346"/>
      <c r="O94" s="346"/>
      <c r="P94" s="346"/>
      <c r="Q94" s="346"/>
      <c r="R94" s="346"/>
      <c r="S94" s="346"/>
      <c r="T94" s="347"/>
      <c r="U94" s="231" t="s">
        <v>156</v>
      </c>
      <c r="V94" s="231" t="s">
        <v>309</v>
      </c>
      <c r="W94" s="231">
        <f>IF(C94&lt;&gt;"",VLOOKUP(C94,t_GradeWeight[],2,FALSE),0)</f>
        <v>4</v>
      </c>
      <c r="X94" s="231">
        <f>IF(D94&lt;&gt;"",VLOOKUP(D94,t_GradeWeight[],2,FALSE),0)</f>
        <v>4</v>
      </c>
      <c r="Y94" s="231">
        <f>IF(E94&lt;&gt;"",VLOOKUP(E94,t_GradeWeight[],2,FALSE),0)</f>
        <v>4</v>
      </c>
      <c r="Z94" s="231">
        <f>IF(F94&lt;&gt;"",VLOOKUP(F94,t_GradeWeight[],2,FALSE),0)</f>
        <v>4</v>
      </c>
      <c r="AA94" s="231">
        <f>IF(G94&lt;&gt;"",VLOOKUP(G94,t_GradeWeight[],2,FALSE),0)</f>
        <v>4</v>
      </c>
      <c r="AB94" s="231">
        <f>IF(H94&lt;&gt;"",VLOOKUP(H94,t_GradeWeight[],2,FALSE),0)</f>
        <v>4</v>
      </c>
      <c r="AC94" s="231">
        <f>IF(I94&lt;&gt;"",VLOOKUP(I94,t_GradeWeight[],2,FALSE),0)</f>
        <v>4</v>
      </c>
      <c r="AD94" s="231">
        <f>IF(J94&lt;&gt;"",VLOOKUP(J94,t_GradeWeight[],2,FALSE),0)</f>
        <v>4</v>
      </c>
      <c r="AE94" s="231">
        <f>IF(K94&lt;&gt;"",VLOOKUP(K94,t_GradeWeight[],2,FALSE),0)</f>
        <v>4</v>
      </c>
      <c r="AF94" s="231">
        <f>IF(L94&lt;&gt;"",VLOOKUP(L94,t_GradeWeight[],2,FALSE),0)</f>
        <v>4</v>
      </c>
    </row>
    <row r="95" spans="1:32" ht="39.950000000000003" customHeight="1" outlineLevel="1">
      <c r="A95" s="177"/>
      <c r="B95" s="285" t="s">
        <v>410</v>
      </c>
      <c r="C95" s="283" t="s">
        <v>158</v>
      </c>
      <c r="D95" s="283" t="s">
        <v>546</v>
      </c>
      <c r="E95" s="283" t="s">
        <v>158</v>
      </c>
      <c r="F95" s="283" t="s">
        <v>158</v>
      </c>
      <c r="G95" s="283" t="s">
        <v>158</v>
      </c>
      <c r="H95" s="283" t="s">
        <v>158</v>
      </c>
      <c r="I95" s="283" t="s">
        <v>158</v>
      </c>
      <c r="J95" s="283" t="s">
        <v>158</v>
      </c>
      <c r="K95" s="283" t="s">
        <v>158</v>
      </c>
      <c r="L95" s="283" t="s">
        <v>158</v>
      </c>
      <c r="M95" s="336"/>
      <c r="N95" s="337"/>
      <c r="O95" s="338"/>
      <c r="P95" s="315" t="s">
        <v>513</v>
      </c>
      <c r="Q95" s="315" t="s">
        <v>514</v>
      </c>
      <c r="R95" s="315" t="s">
        <v>515</v>
      </c>
      <c r="S95" s="315" t="s">
        <v>516</v>
      </c>
      <c r="T95" s="315" t="s">
        <v>517</v>
      </c>
      <c r="U95" s="231" t="s">
        <v>156</v>
      </c>
      <c r="V95" s="231" t="s">
        <v>309</v>
      </c>
      <c r="W95" s="231">
        <f>IF($C95&lt;&gt;"",VLOOKUP(C95,t_GradeWeight[],2,FALSE),0)</f>
        <v>4</v>
      </c>
      <c r="X95" s="231">
        <f>IF(D95&lt;&gt;"",VLOOKUP(D95,t_GradeWeight[],2,FALSE),0)</f>
        <v>4</v>
      </c>
      <c r="Y95" s="231">
        <f>IF(E95&lt;&gt;"",VLOOKUP(E95,t_GradeWeight[],2,FALSE),0)</f>
        <v>4</v>
      </c>
      <c r="Z95" s="231">
        <f>IF(F95&lt;&gt;"",VLOOKUP(F95,t_GradeWeight[],2,FALSE),0)</f>
        <v>4</v>
      </c>
      <c r="AA95" s="231">
        <f>IF(G95&lt;&gt;"",VLOOKUP(G95,t_GradeWeight[],2,FALSE),0)</f>
        <v>4</v>
      </c>
      <c r="AB95" s="231">
        <f>IF(H95&lt;&gt;"",VLOOKUP(H95,t_GradeWeight[],2,FALSE),0)</f>
        <v>4</v>
      </c>
      <c r="AC95" s="231">
        <f>IF(I95&lt;&gt;"",VLOOKUP(I95,t_GradeWeight[],2,FALSE),0)</f>
        <v>4</v>
      </c>
      <c r="AD95" s="231">
        <f>IF(J95&lt;&gt;"",VLOOKUP(J95,t_GradeWeight[],2,FALSE),0)</f>
        <v>4</v>
      </c>
      <c r="AE95" s="231">
        <f>IF(K95&lt;&gt;"",VLOOKUP(K95,t_GradeWeight[],2,FALSE),0)</f>
        <v>4</v>
      </c>
      <c r="AF95" s="231">
        <f>IF(L95&lt;&gt;"",VLOOKUP(L95,t_GradeWeight[],2,FALSE),0)</f>
        <v>4</v>
      </c>
    </row>
    <row r="96" spans="1:32" ht="39.950000000000003" customHeight="1" outlineLevel="1">
      <c r="A96" s="177"/>
      <c r="B96" s="285" t="s">
        <v>583</v>
      </c>
      <c r="C96" s="283" t="s">
        <v>158</v>
      </c>
      <c r="D96" s="283" t="s">
        <v>546</v>
      </c>
      <c r="E96" s="283" t="s">
        <v>158</v>
      </c>
      <c r="F96" s="283" t="s">
        <v>158</v>
      </c>
      <c r="G96" s="283" t="s">
        <v>158</v>
      </c>
      <c r="H96" s="283" t="s">
        <v>158</v>
      </c>
      <c r="I96" s="283" t="s">
        <v>158</v>
      </c>
      <c r="J96" s="283" t="s">
        <v>158</v>
      </c>
      <c r="K96" s="283" t="s">
        <v>158</v>
      </c>
      <c r="L96" s="283" t="s">
        <v>158</v>
      </c>
      <c r="M96" s="339" t="s">
        <v>360</v>
      </c>
      <c r="N96" s="340"/>
      <c r="O96" s="341"/>
      <c r="P96" s="315" t="s">
        <v>361</v>
      </c>
      <c r="Q96" s="315" t="s">
        <v>361</v>
      </c>
      <c r="R96" s="315" t="s">
        <v>361</v>
      </c>
      <c r="S96" s="315" t="s">
        <v>361</v>
      </c>
      <c r="T96" s="315" t="s">
        <v>361</v>
      </c>
      <c r="U96" s="231" t="s">
        <v>156</v>
      </c>
      <c r="V96" s="231" t="s">
        <v>309</v>
      </c>
      <c r="W96" s="231">
        <f>IF($C96&lt;&gt;"",VLOOKUP(C96,t_GradeWeight[],2,FALSE),0)</f>
        <v>4</v>
      </c>
      <c r="X96" s="231">
        <f>IF(D96&lt;&gt;"",VLOOKUP(D96,t_GradeWeight[],2,FALSE),0)</f>
        <v>4</v>
      </c>
      <c r="Y96" s="231">
        <f>IF(E96&lt;&gt;"",VLOOKUP(E96,t_GradeWeight[],2,FALSE),0)</f>
        <v>4</v>
      </c>
      <c r="Z96" s="231">
        <f>IF(F96&lt;&gt;"",VLOOKUP(F96,t_GradeWeight[],2,FALSE),0)</f>
        <v>4</v>
      </c>
      <c r="AA96" s="231">
        <f>IF(G96&lt;&gt;"",VLOOKUP(G96,t_GradeWeight[],2,FALSE),0)</f>
        <v>4</v>
      </c>
      <c r="AB96" s="231">
        <f>IF(H96&lt;&gt;"",VLOOKUP(H96,t_GradeWeight[],2,FALSE),0)</f>
        <v>4</v>
      </c>
      <c r="AC96" s="231">
        <f>IF(I96&lt;&gt;"",VLOOKUP(I96,t_GradeWeight[],2,FALSE),0)</f>
        <v>4</v>
      </c>
      <c r="AD96" s="231">
        <f>IF(J96&lt;&gt;"",VLOOKUP(J96,t_GradeWeight[],2,FALSE),0)</f>
        <v>4</v>
      </c>
      <c r="AE96" s="231">
        <f>IF(K96&lt;&gt;"",VLOOKUP(K96,t_GradeWeight[],2,FALSE),0)</f>
        <v>4</v>
      </c>
      <c r="AF96" s="231">
        <f>IF(L96&lt;&gt;"",VLOOKUP(L96,t_GradeWeight[],2,FALSE),0)</f>
        <v>4</v>
      </c>
    </row>
    <row r="97" spans="1:33" ht="27" customHeight="1" outlineLevel="1">
      <c r="A97" s="177"/>
      <c r="B97" s="285" t="s">
        <v>558</v>
      </c>
      <c r="C97" s="283" t="s">
        <v>158</v>
      </c>
      <c r="D97" s="283" t="s">
        <v>546</v>
      </c>
      <c r="E97" s="283" t="s">
        <v>158</v>
      </c>
      <c r="F97" s="283" t="s">
        <v>158</v>
      </c>
      <c r="G97" s="283" t="s">
        <v>158</v>
      </c>
      <c r="H97" s="283" t="s">
        <v>158</v>
      </c>
      <c r="I97" s="283" t="s">
        <v>158</v>
      </c>
      <c r="J97" s="283" t="s">
        <v>158</v>
      </c>
      <c r="K97" s="283" t="s">
        <v>158</v>
      </c>
      <c r="L97" s="283" t="s">
        <v>158</v>
      </c>
      <c r="M97" s="345"/>
      <c r="N97" s="346"/>
      <c r="O97" s="346"/>
      <c r="P97" s="346"/>
      <c r="Q97" s="346"/>
      <c r="R97" s="346"/>
      <c r="S97" s="346"/>
      <c r="T97" s="347"/>
      <c r="U97" s="231" t="s">
        <v>156</v>
      </c>
      <c r="V97" s="231" t="s">
        <v>309</v>
      </c>
      <c r="W97" s="231">
        <f>IF($C97&lt;&gt;"",VLOOKUP(C97,t_GradeWeight[],2,FALSE),0)</f>
        <v>4</v>
      </c>
      <c r="X97" s="231">
        <f>IF(D97&lt;&gt;"",VLOOKUP(D97,t_GradeWeight[],2,FALSE),0)</f>
        <v>4</v>
      </c>
      <c r="Y97" s="231">
        <f>IF(E97&lt;&gt;"",VLOOKUP(E97,t_GradeWeight[],2,FALSE),0)</f>
        <v>4</v>
      </c>
      <c r="Z97" s="231">
        <f>IF(F97&lt;&gt;"",VLOOKUP(F97,t_GradeWeight[],2,FALSE),0)</f>
        <v>4</v>
      </c>
      <c r="AA97" s="231">
        <f>IF(G97&lt;&gt;"",VLOOKUP(G97,t_GradeWeight[],2,FALSE),0)</f>
        <v>4</v>
      </c>
      <c r="AB97" s="231">
        <f>IF(H97&lt;&gt;"",VLOOKUP(H97,t_GradeWeight[],2,FALSE),0)</f>
        <v>4</v>
      </c>
      <c r="AC97" s="231">
        <f>IF(I97&lt;&gt;"",VLOOKUP(I97,t_GradeWeight[],2,FALSE),0)</f>
        <v>4</v>
      </c>
      <c r="AD97" s="231">
        <f>IF(J97&lt;&gt;"",VLOOKUP(J97,t_GradeWeight[],2,FALSE),0)</f>
        <v>4</v>
      </c>
      <c r="AE97" s="231">
        <f>IF(K97&lt;&gt;"",VLOOKUP(K97,t_GradeWeight[],2,FALSE),0)</f>
        <v>4</v>
      </c>
      <c r="AF97" s="231">
        <f>IF(L97&lt;&gt;"",VLOOKUP(L97,t_GradeWeight[],2,FALSE),0)</f>
        <v>4</v>
      </c>
    </row>
    <row r="98" spans="1:33" ht="27" customHeight="1" outlineLevel="1">
      <c r="A98" s="177"/>
      <c r="B98" s="285" t="s">
        <v>564</v>
      </c>
      <c r="C98" s="283" t="s">
        <v>158</v>
      </c>
      <c r="D98" s="283" t="s">
        <v>546</v>
      </c>
      <c r="E98" s="283" t="s">
        <v>158</v>
      </c>
      <c r="F98" s="283" t="s">
        <v>158</v>
      </c>
      <c r="G98" s="283" t="s">
        <v>158</v>
      </c>
      <c r="H98" s="283" t="s">
        <v>158</v>
      </c>
      <c r="I98" s="283" t="s">
        <v>158</v>
      </c>
      <c r="J98" s="283" t="s">
        <v>158</v>
      </c>
      <c r="K98" s="283" t="s">
        <v>158</v>
      </c>
      <c r="L98" s="283" t="s">
        <v>158</v>
      </c>
      <c r="M98" s="345"/>
      <c r="N98" s="346"/>
      <c r="O98" s="346"/>
      <c r="P98" s="346"/>
      <c r="Q98" s="346"/>
      <c r="R98" s="346"/>
      <c r="S98" s="346"/>
      <c r="T98" s="347"/>
      <c r="U98" s="231" t="s">
        <v>156</v>
      </c>
      <c r="V98" s="231" t="s">
        <v>309</v>
      </c>
      <c r="W98" s="231">
        <f>IF($C98&lt;&gt;"",VLOOKUP(C98,t_GradeWeight[],2,FALSE),0)</f>
        <v>4</v>
      </c>
      <c r="X98" s="231">
        <f>IF(D98&lt;&gt;"",VLOOKUP(D98,t_GradeWeight[],2,FALSE),0)</f>
        <v>4</v>
      </c>
      <c r="Y98" s="231">
        <f>IF(E98&lt;&gt;"",VLOOKUP(E98,t_GradeWeight[],2,FALSE),0)</f>
        <v>4</v>
      </c>
      <c r="Z98" s="231">
        <f>IF(F98&lt;&gt;"",VLOOKUP(F98,t_GradeWeight[],2,FALSE),0)</f>
        <v>4</v>
      </c>
      <c r="AA98" s="231">
        <f>IF(G98&lt;&gt;"",VLOOKUP(G98,t_GradeWeight[],2,FALSE),0)</f>
        <v>4</v>
      </c>
      <c r="AB98" s="231">
        <f>IF(H98&lt;&gt;"",VLOOKUP(H98,t_GradeWeight[],2,FALSE),0)</f>
        <v>4</v>
      </c>
      <c r="AC98" s="231">
        <f>IF(I98&lt;&gt;"",VLOOKUP(I98,t_GradeWeight[],2,FALSE),0)</f>
        <v>4</v>
      </c>
      <c r="AD98" s="231">
        <f>IF(J98&lt;&gt;"",VLOOKUP(J98,t_GradeWeight[],2,FALSE),0)</f>
        <v>4</v>
      </c>
      <c r="AE98" s="231">
        <f>IF(K98&lt;&gt;"",VLOOKUP(K98,t_GradeWeight[],2,FALSE),0)</f>
        <v>4</v>
      </c>
      <c r="AF98" s="231">
        <f>IF(L98&lt;&gt;"",VLOOKUP(L98,t_GradeWeight[],2,FALSE),0)</f>
        <v>4</v>
      </c>
    </row>
    <row r="99" spans="1:33" ht="27" customHeight="1" outlineLevel="1">
      <c r="A99" s="177"/>
      <c r="B99" s="285" t="s">
        <v>561</v>
      </c>
      <c r="C99" s="283" t="s">
        <v>158</v>
      </c>
      <c r="D99" s="283" t="s">
        <v>546</v>
      </c>
      <c r="E99" s="283" t="s">
        <v>158</v>
      </c>
      <c r="F99" s="283" t="s">
        <v>158</v>
      </c>
      <c r="G99" s="283" t="s">
        <v>158</v>
      </c>
      <c r="H99" s="283" t="s">
        <v>158</v>
      </c>
      <c r="I99" s="283" t="s">
        <v>158</v>
      </c>
      <c r="J99" s="283" t="s">
        <v>158</v>
      </c>
      <c r="K99" s="283" t="s">
        <v>158</v>
      </c>
      <c r="L99" s="283" t="s">
        <v>158</v>
      </c>
      <c r="M99" s="345"/>
      <c r="N99" s="346"/>
      <c r="O99" s="346"/>
      <c r="P99" s="346"/>
      <c r="Q99" s="346"/>
      <c r="R99" s="346"/>
      <c r="S99" s="346"/>
      <c r="T99" s="347"/>
      <c r="U99" s="231" t="s">
        <v>156</v>
      </c>
      <c r="V99" s="231" t="s">
        <v>309</v>
      </c>
      <c r="W99" s="231">
        <f>IF($C99&lt;&gt;"",VLOOKUP(C99,t_GradeWeight[],2,FALSE),0)</f>
        <v>4</v>
      </c>
      <c r="X99" s="231">
        <f>IF(D99&lt;&gt;"",VLOOKUP(D99,t_GradeWeight[],2,FALSE),0)</f>
        <v>4</v>
      </c>
      <c r="Y99" s="231">
        <f>IF(E99&lt;&gt;"",VLOOKUP(E99,t_GradeWeight[],2,FALSE),0)</f>
        <v>4</v>
      </c>
      <c r="Z99" s="231">
        <f>IF(F99&lt;&gt;"",VLOOKUP(F99,t_GradeWeight[],2,FALSE),0)</f>
        <v>4</v>
      </c>
      <c r="AA99" s="231">
        <f>IF(G99&lt;&gt;"",VLOOKUP(G99,t_GradeWeight[],2,FALSE),0)</f>
        <v>4</v>
      </c>
      <c r="AB99" s="231">
        <f>IF(H99&lt;&gt;"",VLOOKUP(H99,t_GradeWeight[],2,FALSE),0)</f>
        <v>4</v>
      </c>
      <c r="AC99" s="231">
        <f>IF(I99&lt;&gt;"",VLOOKUP(I99,t_GradeWeight[],2,FALSE),0)</f>
        <v>4</v>
      </c>
      <c r="AD99" s="231">
        <f>IF(J99&lt;&gt;"",VLOOKUP(J99,t_GradeWeight[],2,FALSE),0)</f>
        <v>4</v>
      </c>
      <c r="AE99" s="231">
        <f>IF(K99&lt;&gt;"",VLOOKUP(K99,t_GradeWeight[],2,FALSE),0)</f>
        <v>4</v>
      </c>
      <c r="AF99" s="231">
        <f>IF(L99&lt;&gt;"",VLOOKUP(L99,t_GradeWeight[],2,FALSE),0)</f>
        <v>4</v>
      </c>
    </row>
    <row r="100" spans="1:33" s="281" customFormat="1" ht="27" customHeight="1" outlineLevel="1">
      <c r="A100" s="177"/>
      <c r="B100" s="285" t="s">
        <v>411</v>
      </c>
      <c r="C100" s="283" t="s">
        <v>158</v>
      </c>
      <c r="D100" s="283" t="s">
        <v>546</v>
      </c>
      <c r="E100" s="283" t="s">
        <v>158</v>
      </c>
      <c r="F100" s="283" t="s">
        <v>158</v>
      </c>
      <c r="G100" s="283" t="s">
        <v>158</v>
      </c>
      <c r="H100" s="283" t="s">
        <v>158</v>
      </c>
      <c r="I100" s="283" t="s">
        <v>158</v>
      </c>
      <c r="J100" s="283" t="s">
        <v>158</v>
      </c>
      <c r="K100" s="283" t="s">
        <v>158</v>
      </c>
      <c r="L100" s="283" t="s">
        <v>158</v>
      </c>
      <c r="M100" s="345"/>
      <c r="N100" s="346"/>
      <c r="O100" s="346"/>
      <c r="P100" s="346"/>
      <c r="Q100" s="346"/>
      <c r="R100" s="346"/>
      <c r="S100" s="346"/>
      <c r="T100" s="347"/>
      <c r="U100" s="231" t="s">
        <v>156</v>
      </c>
      <c r="V100" s="231" t="s">
        <v>309</v>
      </c>
      <c r="W100" s="231">
        <f>IF($C100&lt;&gt;"",VLOOKUP(C100,t_GradeWeight[],2,FALSE),0)</f>
        <v>4</v>
      </c>
      <c r="X100" s="231">
        <f>IF(D100&lt;&gt;"",VLOOKUP(D100,t_GradeWeight[],2,FALSE),0)</f>
        <v>4</v>
      </c>
      <c r="Y100" s="231">
        <f>IF(E100&lt;&gt;"",VLOOKUP(E100,t_GradeWeight[],2,FALSE),0)</f>
        <v>4</v>
      </c>
      <c r="Z100" s="231">
        <f>IF(F100&lt;&gt;"",VLOOKUP(F100,t_GradeWeight[],2,FALSE),0)</f>
        <v>4</v>
      </c>
      <c r="AA100" s="231">
        <f>IF(G100&lt;&gt;"",VLOOKUP(G100,t_GradeWeight[],2,FALSE),0)</f>
        <v>4</v>
      </c>
      <c r="AB100" s="231">
        <f>IF(H100&lt;&gt;"",VLOOKUP(H100,t_GradeWeight[],2,FALSE),0)</f>
        <v>4</v>
      </c>
      <c r="AC100" s="231">
        <f>IF(I100&lt;&gt;"",VLOOKUP(I100,t_GradeWeight[],2,FALSE),0)</f>
        <v>4</v>
      </c>
      <c r="AD100" s="231">
        <f>IF(J100&lt;&gt;"",VLOOKUP(J100,t_GradeWeight[],2,FALSE),0)</f>
        <v>4</v>
      </c>
      <c r="AE100" s="231">
        <f>IF(K100&lt;&gt;"",VLOOKUP(K100,t_GradeWeight[],2,FALSE),0)</f>
        <v>4</v>
      </c>
      <c r="AF100" s="231">
        <f>IF(L100&lt;&gt;"",VLOOKUP(L100,t_GradeWeight[],2,FALSE),0)</f>
        <v>4</v>
      </c>
    </row>
    <row r="101" spans="1:33" ht="27" customHeight="1" outlineLevel="1">
      <c r="A101" s="177"/>
      <c r="B101" s="285" t="s">
        <v>545</v>
      </c>
      <c r="C101" s="283" t="s">
        <v>158</v>
      </c>
      <c r="D101" s="283" t="s">
        <v>546</v>
      </c>
      <c r="E101" s="283" t="s">
        <v>158</v>
      </c>
      <c r="F101" s="283" t="s">
        <v>158</v>
      </c>
      <c r="G101" s="283" t="s">
        <v>158</v>
      </c>
      <c r="H101" s="283" t="s">
        <v>158</v>
      </c>
      <c r="I101" s="283" t="s">
        <v>158</v>
      </c>
      <c r="J101" s="283" t="s">
        <v>158</v>
      </c>
      <c r="K101" s="283" t="s">
        <v>158</v>
      </c>
      <c r="L101" s="283" t="s">
        <v>158</v>
      </c>
      <c r="M101" s="345"/>
      <c r="N101" s="346"/>
      <c r="O101" s="346"/>
      <c r="P101" s="346"/>
      <c r="Q101" s="346"/>
      <c r="R101" s="346"/>
      <c r="S101" s="346"/>
      <c r="T101" s="347"/>
      <c r="U101" s="231" t="s">
        <v>156</v>
      </c>
      <c r="V101" s="231" t="s">
        <v>309</v>
      </c>
      <c r="W101" s="231">
        <f>IF($C101&lt;&gt;"",VLOOKUP(C101,t_GradeWeight[],2,FALSE),0)</f>
        <v>4</v>
      </c>
      <c r="X101" s="231">
        <f>IF(D101&lt;&gt;"",VLOOKUP(D101,t_GradeWeight[],2,FALSE),0)</f>
        <v>4</v>
      </c>
      <c r="Y101" s="231">
        <f>IF(E101&lt;&gt;"",VLOOKUP(E101,t_GradeWeight[],2,FALSE),0)</f>
        <v>4</v>
      </c>
      <c r="Z101" s="231">
        <f>IF(F101&lt;&gt;"",VLOOKUP(F101,t_GradeWeight[],2,FALSE),0)</f>
        <v>4</v>
      </c>
      <c r="AA101" s="231">
        <f>IF(G101&lt;&gt;"",VLOOKUP(G101,t_GradeWeight[],2,FALSE),0)</f>
        <v>4</v>
      </c>
      <c r="AB101" s="231">
        <f>IF(H101&lt;&gt;"",VLOOKUP(H101,t_GradeWeight[],2,FALSE),0)</f>
        <v>4</v>
      </c>
      <c r="AC101" s="231">
        <f>IF(I101&lt;&gt;"",VLOOKUP(I101,t_GradeWeight[],2,FALSE),0)</f>
        <v>4</v>
      </c>
      <c r="AD101" s="231">
        <f>IF(J101&lt;&gt;"",VLOOKUP(J101,t_GradeWeight[],2,FALSE),0)</f>
        <v>4</v>
      </c>
      <c r="AE101" s="231">
        <f>IF(K101&lt;&gt;"",VLOOKUP(K101,t_GradeWeight[],2,FALSE),0)</f>
        <v>4</v>
      </c>
      <c r="AF101" s="231">
        <f>IF(L101&lt;&gt;"",VLOOKUP(L101,t_GradeWeight[],2,FALSE),0)</f>
        <v>4</v>
      </c>
    </row>
    <row r="102" spans="1:33" collapsed="1">
      <c r="A102" s="177"/>
      <c r="B102" s="192"/>
      <c r="C102" s="193"/>
      <c r="D102" s="193"/>
      <c r="E102" s="193"/>
      <c r="F102" s="193"/>
      <c r="G102" s="193"/>
      <c r="H102" s="193"/>
      <c r="I102" s="193"/>
      <c r="J102" s="193"/>
      <c r="K102" s="193"/>
      <c r="L102" s="193"/>
      <c r="M102" s="193"/>
      <c r="N102" s="193"/>
      <c r="O102" s="192"/>
      <c r="P102" s="192"/>
      <c r="Q102" s="192"/>
      <c r="R102" s="192"/>
      <c r="U102" s="175"/>
      <c r="V102" s="179"/>
      <c r="W102" s="179"/>
    </row>
    <row r="103" spans="1:33">
      <c r="A103" s="177"/>
      <c r="B103" s="318" t="s">
        <v>279</v>
      </c>
      <c r="C103" s="224" t="s">
        <v>313</v>
      </c>
      <c r="D103" s="195"/>
      <c r="E103" s="195"/>
      <c r="F103" s="195"/>
      <c r="G103" s="195"/>
      <c r="H103" s="195"/>
      <c r="I103" s="195"/>
      <c r="J103" s="195"/>
      <c r="K103" s="195"/>
      <c r="L103" s="195"/>
      <c r="M103" s="333" t="s">
        <v>165</v>
      </c>
      <c r="N103" s="334"/>
      <c r="O103" s="334"/>
      <c r="P103" s="334"/>
      <c r="Q103" s="334"/>
      <c r="R103" s="334"/>
      <c r="S103" s="334"/>
      <c r="T103" s="335"/>
      <c r="U103" s="297"/>
      <c r="V103" s="297"/>
      <c r="W103" s="196"/>
    </row>
    <row r="104" spans="1:33" outlineLevel="1">
      <c r="A104" s="177"/>
      <c r="B104" s="197" t="s">
        <v>280</v>
      </c>
      <c r="C104" s="250" t="s">
        <v>158</v>
      </c>
      <c r="D104" s="383" t="s">
        <v>166</v>
      </c>
      <c r="E104" s="384"/>
      <c r="F104" s="384"/>
      <c r="G104" s="384"/>
      <c r="H104" s="384"/>
      <c r="I104" s="384"/>
      <c r="J104" s="384"/>
      <c r="K104" s="384"/>
      <c r="L104" s="384"/>
      <c r="M104" s="384"/>
      <c r="N104" s="384"/>
      <c r="O104" s="384"/>
      <c r="P104" s="384"/>
      <c r="Q104" s="384"/>
      <c r="R104" s="384"/>
      <c r="S104" s="384"/>
      <c r="T104" s="301"/>
      <c r="U104" s="212"/>
      <c r="V104" s="212"/>
      <c r="W104" s="212"/>
    </row>
    <row r="105" spans="1:33" outlineLevel="1">
      <c r="A105" s="177"/>
      <c r="B105" s="197" t="s">
        <v>302</v>
      </c>
      <c r="C105" s="252" t="s">
        <v>159</v>
      </c>
      <c r="D105" s="383" t="s">
        <v>403</v>
      </c>
      <c r="E105" s="384"/>
      <c r="F105" s="384"/>
      <c r="G105" s="384"/>
      <c r="H105" s="384"/>
      <c r="I105" s="384"/>
      <c r="J105" s="384"/>
      <c r="K105" s="384"/>
      <c r="L105" s="384"/>
      <c r="M105" s="384"/>
      <c r="N105" s="384"/>
      <c r="O105" s="384"/>
      <c r="P105" s="384"/>
      <c r="Q105" s="384"/>
      <c r="R105" s="384"/>
      <c r="S105" s="384"/>
      <c r="T105" s="301"/>
      <c r="U105" s="212"/>
      <c r="V105" s="212"/>
      <c r="W105" s="212"/>
    </row>
    <row r="106" spans="1:33" outlineLevel="1">
      <c r="A106" s="177"/>
      <c r="B106" s="197" t="s">
        <v>303</v>
      </c>
      <c r="C106" s="251" t="s">
        <v>160</v>
      </c>
      <c r="D106" s="383" t="s">
        <v>404</v>
      </c>
      <c r="E106" s="384"/>
      <c r="F106" s="384"/>
      <c r="G106" s="384"/>
      <c r="H106" s="384"/>
      <c r="I106" s="384"/>
      <c r="J106" s="384"/>
      <c r="K106" s="384"/>
      <c r="L106" s="384"/>
      <c r="M106" s="384"/>
      <c r="N106" s="384"/>
      <c r="O106" s="384"/>
      <c r="P106" s="384"/>
      <c r="Q106" s="384"/>
      <c r="R106" s="384"/>
      <c r="S106" s="384"/>
      <c r="T106" s="301"/>
      <c r="U106" s="212"/>
      <c r="V106" s="212"/>
      <c r="W106" s="212"/>
    </row>
    <row r="107" spans="1:33" outlineLevel="1">
      <c r="A107" s="177"/>
      <c r="B107" s="197" t="s">
        <v>281</v>
      </c>
      <c r="C107" s="253" t="s">
        <v>161</v>
      </c>
      <c r="D107" s="383" t="s">
        <v>405</v>
      </c>
      <c r="E107" s="384"/>
      <c r="F107" s="384"/>
      <c r="G107" s="384"/>
      <c r="H107" s="384"/>
      <c r="I107" s="384"/>
      <c r="J107" s="384"/>
      <c r="K107" s="384"/>
      <c r="L107" s="384"/>
      <c r="M107" s="384"/>
      <c r="N107" s="384"/>
      <c r="O107" s="384"/>
      <c r="P107" s="384"/>
      <c r="Q107" s="384"/>
      <c r="R107" s="384"/>
      <c r="S107" s="384"/>
      <c r="T107" s="301"/>
      <c r="U107" s="212"/>
      <c r="V107" s="212"/>
      <c r="W107" s="212"/>
    </row>
    <row r="108" spans="1:33">
      <c r="A108" s="177"/>
      <c r="B108" s="192"/>
      <c r="C108" s="192"/>
      <c r="D108" s="192"/>
      <c r="E108" s="192"/>
      <c r="F108" s="192"/>
      <c r="G108" s="192"/>
      <c r="H108" s="192"/>
      <c r="I108" s="192"/>
      <c r="J108" s="192"/>
      <c r="K108" s="192"/>
      <c r="L108" s="192"/>
      <c r="M108" s="192"/>
      <c r="N108" s="192"/>
      <c r="O108" s="192"/>
      <c r="P108" s="192"/>
      <c r="Q108" s="192"/>
      <c r="R108" s="192"/>
      <c r="S108" s="319"/>
      <c r="T108" s="319"/>
      <c r="U108" s="198"/>
      <c r="V108" s="199"/>
      <c r="W108" s="199"/>
      <c r="AE108" s="297"/>
      <c r="AF108" s="297"/>
      <c r="AG108" s="297"/>
    </row>
    <row r="109" spans="1:33">
      <c r="AE109" s="297"/>
      <c r="AF109" s="297"/>
      <c r="AG109" s="297"/>
    </row>
    <row r="110" spans="1:33" s="184" customFormat="1">
      <c r="A110" s="187"/>
      <c r="B110" s="218" t="s">
        <v>327</v>
      </c>
      <c r="C110" s="224">
        <v>1</v>
      </c>
      <c r="D110" s="224">
        <v>2</v>
      </c>
      <c r="E110" s="224">
        <v>3</v>
      </c>
      <c r="F110" s="224">
        <v>4</v>
      </c>
      <c r="G110" s="224">
        <v>5</v>
      </c>
      <c r="H110" s="224">
        <v>6</v>
      </c>
      <c r="I110" s="224">
        <v>7</v>
      </c>
      <c r="J110" s="224">
        <v>8</v>
      </c>
      <c r="K110" s="224">
        <v>9</v>
      </c>
      <c r="L110" s="224">
        <v>10</v>
      </c>
      <c r="M110" s="330" t="s">
        <v>180</v>
      </c>
      <c r="N110" s="331"/>
      <c r="O110" s="331"/>
      <c r="P110" s="331"/>
      <c r="Q110" s="331"/>
      <c r="R110" s="331"/>
      <c r="S110" s="331"/>
      <c r="T110" s="332"/>
      <c r="W110" s="316" t="s">
        <v>440</v>
      </c>
      <c r="X110" s="316" t="s">
        <v>441</v>
      </c>
      <c r="Y110" s="316" t="s">
        <v>442</v>
      </c>
      <c r="Z110" s="316" t="s">
        <v>443</v>
      </c>
      <c r="AA110" s="316" t="s">
        <v>444</v>
      </c>
      <c r="AB110" s="316" t="s">
        <v>445</v>
      </c>
      <c r="AC110" s="316" t="s">
        <v>446</v>
      </c>
      <c r="AD110" s="316" t="s">
        <v>447</v>
      </c>
      <c r="AE110" s="316" t="s">
        <v>448</v>
      </c>
      <c r="AF110" s="316" t="s">
        <v>449</v>
      </c>
      <c r="AG110" s="297"/>
    </row>
    <row r="111" spans="1:33" ht="23.25" customHeight="1" outlineLevel="1">
      <c r="A111" s="259"/>
      <c r="B111" s="223" t="s">
        <v>325</v>
      </c>
      <c r="C111" s="222" t="str">
        <f t="shared" ref="C111:L118" si="11">IF(ISNA(VLOOKUP(W111,Grade_Scale,2,TRUE)),"TBD",VLOOKUP(W111,Grade_Scale,2,TRUE))</f>
        <v>A</v>
      </c>
      <c r="D111" s="222" t="str">
        <f t="shared" si="11"/>
        <v>A</v>
      </c>
      <c r="E111" s="222" t="str">
        <f t="shared" si="11"/>
        <v>A</v>
      </c>
      <c r="F111" s="222" t="str">
        <f t="shared" si="11"/>
        <v>A</v>
      </c>
      <c r="G111" s="222" t="str">
        <f t="shared" si="11"/>
        <v>A</v>
      </c>
      <c r="H111" s="222" t="str">
        <f t="shared" si="11"/>
        <v>A</v>
      </c>
      <c r="I111" s="222" t="str">
        <f t="shared" si="11"/>
        <v>A</v>
      </c>
      <c r="J111" s="222" t="str">
        <f t="shared" si="11"/>
        <v>A</v>
      </c>
      <c r="K111" s="222" t="str">
        <f t="shared" si="11"/>
        <v>A</v>
      </c>
      <c r="L111" s="222" t="str">
        <f t="shared" si="11"/>
        <v>A</v>
      </c>
      <c r="M111" s="342"/>
      <c r="N111" s="343"/>
      <c r="O111" s="343"/>
      <c r="P111" s="343"/>
      <c r="Q111" s="343"/>
      <c r="R111" s="343"/>
      <c r="S111" s="343"/>
      <c r="T111" s="344"/>
      <c r="W111" s="181">
        <f t="array" ref="W111">IF(SUM((IF($V$42:$V$101=$B111,$V$42:$W$101)))=0,0,SUM(IF($V$42:$V$101=$B111,$V$42:$W$101))/COUNT(IF($W$42:$W$101&gt;0,IF($V$42:$V$101=$B111,$V$42:$W$101))))</f>
        <v>4</v>
      </c>
      <c r="X111" s="181">
        <f t="shared" ref="X111:AF111" si="12">IFERROR((SUMPRODUCT(($V$43:$V$101="COMPLEXITY")*(X$43:X$101)))/((COUNTIF($V$43:$V$101,"=COMPLEXITY"))-(COUNTIFS($V$43:$V$101, "=COMPLEXITY",X$43:X$101,"=0"))),"")</f>
        <v>4</v>
      </c>
      <c r="Y111" s="181">
        <f t="shared" si="12"/>
        <v>4</v>
      </c>
      <c r="Z111" s="181">
        <f t="shared" si="12"/>
        <v>4</v>
      </c>
      <c r="AA111" s="181">
        <f t="shared" si="12"/>
        <v>4</v>
      </c>
      <c r="AB111" s="181">
        <f t="shared" si="12"/>
        <v>4</v>
      </c>
      <c r="AC111" s="181">
        <f t="shared" si="12"/>
        <v>4</v>
      </c>
      <c r="AD111" s="181">
        <f t="shared" si="12"/>
        <v>4</v>
      </c>
      <c r="AE111" s="181">
        <f t="shared" si="12"/>
        <v>4</v>
      </c>
      <c r="AF111" s="181">
        <f t="shared" si="12"/>
        <v>4</v>
      </c>
      <c r="AG111" s="297"/>
    </row>
    <row r="112" spans="1:33" s="184" customFormat="1" ht="23.25" customHeight="1" outlineLevel="1">
      <c r="A112" s="259"/>
      <c r="B112" s="223" t="s">
        <v>312</v>
      </c>
      <c r="C112" s="222" t="str">
        <f t="shared" si="11"/>
        <v>A</v>
      </c>
      <c r="D112" s="222" t="str">
        <f t="shared" si="11"/>
        <v>A</v>
      </c>
      <c r="E112" s="222" t="str">
        <f t="shared" si="11"/>
        <v>A</v>
      </c>
      <c r="F112" s="222" t="str">
        <f t="shared" si="11"/>
        <v>A</v>
      </c>
      <c r="G112" s="222" t="str">
        <f t="shared" si="11"/>
        <v>A</v>
      </c>
      <c r="H112" s="222" t="str">
        <f t="shared" si="11"/>
        <v>A</v>
      </c>
      <c r="I112" s="222" t="str">
        <f t="shared" si="11"/>
        <v>A</v>
      </c>
      <c r="J112" s="222" t="str">
        <f t="shared" si="11"/>
        <v>A</v>
      </c>
      <c r="K112" s="222" t="str">
        <f t="shared" si="11"/>
        <v>A</v>
      </c>
      <c r="L112" s="222" t="str">
        <f t="shared" si="11"/>
        <v>A</v>
      </c>
      <c r="M112" s="342"/>
      <c r="N112" s="343"/>
      <c r="O112" s="343"/>
      <c r="P112" s="343"/>
      <c r="Q112" s="343"/>
      <c r="R112" s="343"/>
      <c r="S112" s="343"/>
      <c r="T112" s="344"/>
      <c r="W112" s="181">
        <f t="array" ref="W112">IF(SUM((IF($V$42:$V$101=$B112,$V$42:$W$101)))=0,0,SUM(IF($V$42:$V$101=$B112,$V$42:$W$101))/COUNT(IF($W$42:$W$101&gt;0,IF($V$42:$V$101=$B112,$V$42:$W$101))))</f>
        <v>4</v>
      </c>
      <c r="X112" s="181">
        <f t="shared" ref="X112:AF112" si="13">IFERROR((SUMPRODUCT(($V$43:$V$101="CUSTOMER ORGANIZATION")*(X$43:X$101)))/((COUNTIF($V$43:$V$101,"=CUSTOMER ORGANIZATION"))-(COUNTIFS($V$43:$V$101, "=CUSTOMER ORGANIZATION",X$43:X$101,"=0"))),"")</f>
        <v>4</v>
      </c>
      <c r="Y112" s="181">
        <f t="shared" si="13"/>
        <v>4</v>
      </c>
      <c r="Z112" s="181">
        <f t="shared" si="13"/>
        <v>4</v>
      </c>
      <c r="AA112" s="181">
        <f t="shared" si="13"/>
        <v>4</v>
      </c>
      <c r="AB112" s="181">
        <f t="shared" si="13"/>
        <v>4</v>
      </c>
      <c r="AC112" s="181">
        <f t="shared" si="13"/>
        <v>4</v>
      </c>
      <c r="AD112" s="181">
        <f t="shared" si="13"/>
        <v>4</v>
      </c>
      <c r="AE112" s="181">
        <f t="shared" si="13"/>
        <v>4</v>
      </c>
      <c r="AF112" s="181">
        <f t="shared" si="13"/>
        <v>4</v>
      </c>
      <c r="AG112" s="297"/>
    </row>
    <row r="113" spans="1:33" ht="23.25" customHeight="1" outlineLevel="1">
      <c r="A113" s="259"/>
      <c r="B113" s="223" t="s">
        <v>314</v>
      </c>
      <c r="C113" s="222" t="str">
        <f t="shared" si="11"/>
        <v>A</v>
      </c>
      <c r="D113" s="222" t="str">
        <f t="shared" si="11"/>
        <v>A</v>
      </c>
      <c r="E113" s="222" t="str">
        <f t="shared" si="11"/>
        <v>A</v>
      </c>
      <c r="F113" s="222" t="str">
        <f t="shared" si="11"/>
        <v>A</v>
      </c>
      <c r="G113" s="222" t="str">
        <f t="shared" si="11"/>
        <v>A</v>
      </c>
      <c r="H113" s="222" t="str">
        <f t="shared" si="11"/>
        <v>A</v>
      </c>
      <c r="I113" s="222" t="str">
        <f t="shared" si="11"/>
        <v>A</v>
      </c>
      <c r="J113" s="222" t="str">
        <f t="shared" si="11"/>
        <v>A</v>
      </c>
      <c r="K113" s="222" t="str">
        <f t="shared" si="11"/>
        <v>A</v>
      </c>
      <c r="L113" s="222" t="str">
        <f t="shared" si="11"/>
        <v>A</v>
      </c>
      <c r="M113" s="342"/>
      <c r="N113" s="343"/>
      <c r="O113" s="343"/>
      <c r="P113" s="343"/>
      <c r="Q113" s="343"/>
      <c r="R113" s="343"/>
      <c r="S113" s="343"/>
      <c r="T113" s="344"/>
      <c r="W113" s="181">
        <f t="array" ref="W113">IF(SUM((IF($V$42:$V$101=$B113,$V$42:$W$101)))=0,0,SUM(IF($V$42:$V$101=$B113,$V$42:$W$101))/COUNT(IF($W$42:$W$101&gt;0,IF($V$42:$V$101=$B113,$V$42:$W$101))))</f>
        <v>4</v>
      </c>
      <c r="X113" s="181">
        <f t="shared" ref="X113:AF113" si="14">IFERROR((SUMPRODUCT(($V$43:$V$101="PERFORM COMPLIANCE")*(X$43:X$101)))/((COUNTIF($V$43:$V$101,"=PERFORM COMPLIANCE"))-(COUNTIFS($V$43:$V$101, "=PERFORM COMPLIANCE",X$43:X$101,"=0"))),"")</f>
        <v>4</v>
      </c>
      <c r="Y113" s="181">
        <f t="shared" si="14"/>
        <v>4</v>
      </c>
      <c r="Z113" s="181">
        <f t="shared" si="14"/>
        <v>4</v>
      </c>
      <c r="AA113" s="181">
        <f t="shared" si="14"/>
        <v>4</v>
      </c>
      <c r="AB113" s="181">
        <f t="shared" si="14"/>
        <v>4</v>
      </c>
      <c r="AC113" s="181">
        <f t="shared" si="14"/>
        <v>4</v>
      </c>
      <c r="AD113" s="181">
        <f t="shared" si="14"/>
        <v>4</v>
      </c>
      <c r="AE113" s="181">
        <f t="shared" si="14"/>
        <v>4</v>
      </c>
      <c r="AF113" s="181">
        <f t="shared" si="14"/>
        <v>4</v>
      </c>
      <c r="AG113" s="297"/>
    </row>
    <row r="114" spans="1:33" s="184" customFormat="1" ht="23.25" customHeight="1" outlineLevel="1">
      <c r="A114" s="259"/>
      <c r="B114" s="223" t="s">
        <v>309</v>
      </c>
      <c r="C114" s="222" t="str">
        <f t="shared" si="11"/>
        <v>A</v>
      </c>
      <c r="D114" s="222" t="str">
        <f t="shared" si="11"/>
        <v>A</v>
      </c>
      <c r="E114" s="222" t="str">
        <f t="shared" si="11"/>
        <v>A</v>
      </c>
      <c r="F114" s="222" t="str">
        <f t="shared" si="11"/>
        <v>A</v>
      </c>
      <c r="G114" s="222" t="str">
        <f t="shared" si="11"/>
        <v>A</v>
      </c>
      <c r="H114" s="222" t="str">
        <f t="shared" si="11"/>
        <v>A</v>
      </c>
      <c r="I114" s="222" t="str">
        <f t="shared" si="11"/>
        <v>A</v>
      </c>
      <c r="J114" s="222" t="str">
        <f t="shared" si="11"/>
        <v>A</v>
      </c>
      <c r="K114" s="222" t="str">
        <f t="shared" si="11"/>
        <v>A</v>
      </c>
      <c r="L114" s="222" t="str">
        <f t="shared" si="11"/>
        <v>A</v>
      </c>
      <c r="M114" s="342"/>
      <c r="N114" s="343"/>
      <c r="O114" s="343"/>
      <c r="P114" s="343"/>
      <c r="Q114" s="343"/>
      <c r="R114" s="343"/>
      <c r="S114" s="343"/>
      <c r="T114" s="344"/>
      <c r="W114" s="181">
        <f t="array" ref="W114">IF(SUM((IF($V$42:$V$101=$B114,$V$42:$W$101)))=0,0,SUM(IF($V$42:$V$101=$B114,$V$42:$W$101))/COUNT(IF($W$42:$W$101&gt;0,IF($V$42:$V$101=$B114,$V$42:$W$101))))</f>
        <v>4</v>
      </c>
      <c r="X114" s="181">
        <f t="shared" ref="X114:AF114" si="15">IFERROR((SUMPRODUCT(($V$43:$V$101="PLANNING &amp; CONTROL")*(X$43:X$101)))/((COUNTIF($V$43:$V$101,"=PLANNING &amp; CONTROL"))-(COUNTIFS($V$43:$V$101, "=PLANNING &amp; CONTROL",X$43:X$101,"=0"))),"")</f>
        <v>4</v>
      </c>
      <c r="Y114" s="181">
        <f t="shared" si="15"/>
        <v>4</v>
      </c>
      <c r="Z114" s="181">
        <f t="shared" si="15"/>
        <v>4</v>
      </c>
      <c r="AA114" s="181">
        <f t="shared" si="15"/>
        <v>4</v>
      </c>
      <c r="AB114" s="181">
        <f t="shared" si="15"/>
        <v>4</v>
      </c>
      <c r="AC114" s="181">
        <f t="shared" si="15"/>
        <v>4</v>
      </c>
      <c r="AD114" s="181">
        <f t="shared" si="15"/>
        <v>4</v>
      </c>
      <c r="AE114" s="181">
        <f t="shared" si="15"/>
        <v>4</v>
      </c>
      <c r="AF114" s="181">
        <f t="shared" si="15"/>
        <v>4</v>
      </c>
      <c r="AG114" s="297"/>
    </row>
    <row r="115" spans="1:33" ht="23.25" customHeight="1" outlineLevel="1">
      <c r="A115" s="259"/>
      <c r="B115" s="223" t="s">
        <v>323</v>
      </c>
      <c r="C115" s="222" t="str">
        <f t="shared" si="11"/>
        <v>A</v>
      </c>
      <c r="D115" s="222" t="str">
        <f t="shared" si="11"/>
        <v>A</v>
      </c>
      <c r="E115" s="222" t="str">
        <f t="shared" si="11"/>
        <v>A</v>
      </c>
      <c r="F115" s="222" t="str">
        <f t="shared" si="11"/>
        <v>A</v>
      </c>
      <c r="G115" s="222" t="str">
        <f t="shared" si="11"/>
        <v>A</v>
      </c>
      <c r="H115" s="222" t="str">
        <f t="shared" si="11"/>
        <v>A</v>
      </c>
      <c r="I115" s="222" t="str">
        <f t="shared" si="11"/>
        <v>A</v>
      </c>
      <c r="J115" s="222" t="str">
        <f t="shared" si="11"/>
        <v>A</v>
      </c>
      <c r="K115" s="222" t="str">
        <f t="shared" si="11"/>
        <v>A</v>
      </c>
      <c r="L115" s="222" t="str">
        <f t="shared" si="11"/>
        <v>A</v>
      </c>
      <c r="M115" s="342"/>
      <c r="N115" s="343"/>
      <c r="O115" s="343"/>
      <c r="P115" s="343"/>
      <c r="Q115" s="343"/>
      <c r="R115" s="343"/>
      <c r="S115" s="343"/>
      <c r="T115" s="344"/>
      <c r="W115" s="181">
        <f t="array" ref="W115">IF(SUM((IF($V$42:$V$101=$B115,$V$42:$W$101)))=0,0,SUM(IF($V$42:$V$101=$B115,$V$42:$W$101))/COUNT(IF($W$42:$W$101&gt;0,IF($V$42:$V$101=$B115,$V$42:$W$101))))</f>
        <v>4</v>
      </c>
      <c r="X115" s="181">
        <f t="shared" ref="X115:AF115" si="16">IFERROR((SUMPRODUCT(($V$43:$V$101="PRODUCT &amp; SUPPORT")*(X$43:X$101)))/((COUNTIF($V$43:$V$101,"=PRODUCT &amp; SUPPORT"))-(COUNTIFS($V$43:$V$101, "=PRODUCT &amp; SUPPORT",X$43:X$101,"=0"))),"")</f>
        <v>4</v>
      </c>
      <c r="Y115" s="181">
        <f t="shared" si="16"/>
        <v>4</v>
      </c>
      <c r="Z115" s="181">
        <f t="shared" si="16"/>
        <v>4</v>
      </c>
      <c r="AA115" s="181">
        <f t="shared" si="16"/>
        <v>4</v>
      </c>
      <c r="AB115" s="181">
        <f t="shared" si="16"/>
        <v>4</v>
      </c>
      <c r="AC115" s="181">
        <f t="shared" si="16"/>
        <v>4</v>
      </c>
      <c r="AD115" s="181">
        <f t="shared" si="16"/>
        <v>4</v>
      </c>
      <c r="AE115" s="181">
        <f t="shared" si="16"/>
        <v>4</v>
      </c>
      <c r="AF115" s="181">
        <f t="shared" si="16"/>
        <v>4</v>
      </c>
      <c r="AG115" s="297"/>
    </row>
    <row r="116" spans="1:33" ht="23.25" customHeight="1" outlineLevel="1">
      <c r="A116" s="259"/>
      <c r="B116" s="223" t="s">
        <v>310</v>
      </c>
      <c r="C116" s="222" t="str">
        <f t="shared" si="11"/>
        <v>A</v>
      </c>
      <c r="D116" s="222" t="str">
        <f t="shared" si="11"/>
        <v>A</v>
      </c>
      <c r="E116" s="222" t="str">
        <f t="shared" si="11"/>
        <v>A</v>
      </c>
      <c r="F116" s="222" t="str">
        <f t="shared" si="11"/>
        <v>A</v>
      </c>
      <c r="G116" s="222" t="str">
        <f t="shared" si="11"/>
        <v>A</v>
      </c>
      <c r="H116" s="222" t="str">
        <f t="shared" si="11"/>
        <v>A</v>
      </c>
      <c r="I116" s="222" t="str">
        <f t="shared" si="11"/>
        <v>A</v>
      </c>
      <c r="J116" s="222" t="str">
        <f t="shared" si="11"/>
        <v>A</v>
      </c>
      <c r="K116" s="222" t="str">
        <f t="shared" si="11"/>
        <v>A</v>
      </c>
      <c r="L116" s="222" t="str">
        <f t="shared" si="11"/>
        <v>A</v>
      </c>
      <c r="M116" s="342"/>
      <c r="N116" s="343"/>
      <c r="O116" s="343"/>
      <c r="P116" s="343"/>
      <c r="Q116" s="343"/>
      <c r="R116" s="343"/>
      <c r="S116" s="343"/>
      <c r="T116" s="344"/>
      <c r="W116" s="181">
        <f t="array" ref="W116">IF(SUM((IF($V$42:$V$101=$B116,$V$42:$W$101)))=0,0,SUM(IF($V$42:$V$101=$B116,$V$42:$W$101))/COUNT(IF($W$42:$W$101&gt;0,IF($V$42:$V$101=$B116,$V$42:$W$101))))</f>
        <v>4</v>
      </c>
      <c r="X116" s="181">
        <f t="shared" ref="X116:AF116" si="17">IFERROR((SUMPRODUCT(($V$43:$V$101="REQUIREMENTS")*(X$43:X$101)))/((COUNTIF($V$43:$V$101,"=REQUIREMENTS"))-(COUNTIFS($V$43:$V$101, "=REQUIREMENTS",X$43:X$101,"=0"))),"")</f>
        <v>4</v>
      </c>
      <c r="Y116" s="181">
        <f t="shared" si="17"/>
        <v>4</v>
      </c>
      <c r="Z116" s="181">
        <f t="shared" si="17"/>
        <v>4</v>
      </c>
      <c r="AA116" s="181">
        <f t="shared" si="17"/>
        <v>4</v>
      </c>
      <c r="AB116" s="181">
        <f t="shared" si="17"/>
        <v>4</v>
      </c>
      <c r="AC116" s="181">
        <f t="shared" si="17"/>
        <v>4</v>
      </c>
      <c r="AD116" s="181">
        <f t="shared" si="17"/>
        <v>4</v>
      </c>
      <c r="AE116" s="181">
        <f t="shared" si="17"/>
        <v>4</v>
      </c>
      <c r="AF116" s="181">
        <f t="shared" si="17"/>
        <v>4</v>
      </c>
    </row>
    <row r="117" spans="1:33" ht="23.25" customHeight="1" outlineLevel="1">
      <c r="A117" s="259"/>
      <c r="B117" s="223" t="s">
        <v>311</v>
      </c>
      <c r="C117" s="222" t="str">
        <f t="shared" si="11"/>
        <v>A</v>
      </c>
      <c r="D117" s="222" t="str">
        <f t="shared" si="11"/>
        <v>A</v>
      </c>
      <c r="E117" s="222" t="str">
        <f t="shared" si="11"/>
        <v>A</v>
      </c>
      <c r="F117" s="222" t="str">
        <f t="shared" si="11"/>
        <v>A</v>
      </c>
      <c r="G117" s="222" t="str">
        <f t="shared" si="11"/>
        <v>A</v>
      </c>
      <c r="H117" s="222" t="str">
        <f t="shared" si="11"/>
        <v>A</v>
      </c>
      <c r="I117" s="222" t="str">
        <f t="shared" si="11"/>
        <v>A</v>
      </c>
      <c r="J117" s="222" t="str">
        <f t="shared" si="11"/>
        <v>A</v>
      </c>
      <c r="K117" s="222" t="str">
        <f t="shared" si="11"/>
        <v>A</v>
      </c>
      <c r="L117" s="222" t="str">
        <f t="shared" si="11"/>
        <v>A</v>
      </c>
      <c r="M117" s="342"/>
      <c r="N117" s="343"/>
      <c r="O117" s="343"/>
      <c r="P117" s="343"/>
      <c r="Q117" s="343"/>
      <c r="R117" s="343"/>
      <c r="S117" s="343"/>
      <c r="T117" s="344"/>
      <c r="W117" s="181">
        <f t="array" ref="W117">IF(SUM((IF($V$42:$V$101=$B117,$V$42:$W$101)))=0,0,SUM(IF($V$42:$V$101=$B117,$V$42:$W$101))/COUNT(IF($W$42:$W$101&gt;0,IF($V$42:$V$101=$B117,$V$42:$W$101))))</f>
        <v>4</v>
      </c>
      <c r="X117" s="181">
        <f t="shared" ref="X117:AF117" si="18">IFERROR((SUMPRODUCT(($V$43:$V$101="TEAM")*(X$43:X$101)))/((COUNTIF($V$43:$V$101,"=TEAM"))-(COUNTIFS($V$43:$V$101, "=TEAM",X$43:X$101,"=0"))),"")</f>
        <v>4</v>
      </c>
      <c r="Y117" s="181">
        <f t="shared" si="18"/>
        <v>4</v>
      </c>
      <c r="Z117" s="181">
        <f t="shared" si="18"/>
        <v>4</v>
      </c>
      <c r="AA117" s="181">
        <f t="shared" si="18"/>
        <v>4</v>
      </c>
      <c r="AB117" s="181">
        <f t="shared" si="18"/>
        <v>4</v>
      </c>
      <c r="AC117" s="181">
        <f t="shared" si="18"/>
        <v>4</v>
      </c>
      <c r="AD117" s="181">
        <f t="shared" si="18"/>
        <v>4</v>
      </c>
      <c r="AE117" s="181">
        <f t="shared" si="18"/>
        <v>4</v>
      </c>
      <c r="AF117" s="181">
        <f t="shared" si="18"/>
        <v>4</v>
      </c>
    </row>
    <row r="118" spans="1:33" ht="23.25" customHeight="1" outlineLevel="1">
      <c r="A118" s="259"/>
      <c r="B118" s="223" t="s">
        <v>324</v>
      </c>
      <c r="C118" s="222" t="str">
        <f t="shared" si="11"/>
        <v>A</v>
      </c>
      <c r="D118" s="222" t="str">
        <f t="shared" si="11"/>
        <v>A</v>
      </c>
      <c r="E118" s="222" t="str">
        <f t="shared" si="11"/>
        <v>A</v>
      </c>
      <c r="F118" s="222" t="str">
        <f t="shared" si="11"/>
        <v>A</v>
      </c>
      <c r="G118" s="222" t="str">
        <f t="shared" si="11"/>
        <v>A</v>
      </c>
      <c r="H118" s="222" t="str">
        <f t="shared" si="11"/>
        <v>A</v>
      </c>
      <c r="I118" s="222" t="str">
        <f t="shared" si="11"/>
        <v>A</v>
      </c>
      <c r="J118" s="222" t="str">
        <f t="shared" si="11"/>
        <v>A</v>
      </c>
      <c r="K118" s="222" t="str">
        <f t="shared" si="11"/>
        <v>A</v>
      </c>
      <c r="L118" s="222" t="str">
        <f t="shared" si="11"/>
        <v>A</v>
      </c>
      <c r="M118" s="342"/>
      <c r="N118" s="343"/>
      <c r="O118" s="343"/>
      <c r="P118" s="343"/>
      <c r="Q118" s="343"/>
      <c r="R118" s="343"/>
      <c r="S118" s="343"/>
      <c r="T118" s="344"/>
      <c r="W118" s="181">
        <f t="array" ref="W118">IF(SUM((IF($V$42:$V$101=$B118,$V$42:$W$101)))=0,0,SUM(IF($V$42:$V$101=$B118,$V$42:$W$101))/COUNT(IF($W$42:$W$101&gt;0,IF($V$42:$V$101=$B118,$V$42:$W$101))))</f>
        <v>4</v>
      </c>
      <c r="X118" s="181">
        <f t="shared" ref="X118:AF118" si="19">IFERROR((SUMPRODUCT(($V$43:$V$101="USER")*(X$43:X$101)))/((COUNTIF($V$43:$V$101,"=USER"))-(COUNTIFS($V$43:$V$101, "=USER",X$43:X$101,"=0"))),"")</f>
        <v>4</v>
      </c>
      <c r="Y118" s="181">
        <f t="shared" si="19"/>
        <v>4</v>
      </c>
      <c r="Z118" s="181">
        <f t="shared" si="19"/>
        <v>4</v>
      </c>
      <c r="AA118" s="181">
        <f t="shared" si="19"/>
        <v>4</v>
      </c>
      <c r="AB118" s="181">
        <f t="shared" si="19"/>
        <v>4</v>
      </c>
      <c r="AC118" s="181">
        <f t="shared" si="19"/>
        <v>4</v>
      </c>
      <c r="AD118" s="181">
        <f t="shared" si="19"/>
        <v>4</v>
      </c>
      <c r="AE118" s="181">
        <f t="shared" si="19"/>
        <v>4</v>
      </c>
      <c r="AF118" s="181">
        <f t="shared" si="19"/>
        <v>4</v>
      </c>
    </row>
    <row r="119" spans="1:33" ht="23.25">
      <c r="B119" s="204"/>
      <c r="C119" s="173"/>
      <c r="D119" s="211"/>
      <c r="E119" s="211"/>
      <c r="F119" s="211"/>
      <c r="G119" s="211"/>
      <c r="H119" s="211"/>
      <c r="I119" s="211"/>
      <c r="J119" s="211"/>
      <c r="K119" s="211"/>
      <c r="L119" s="211"/>
      <c r="M119" s="280"/>
      <c r="N119" s="280"/>
      <c r="O119" s="205"/>
      <c r="P119" s="205"/>
      <c r="Q119" s="205"/>
      <c r="R119" s="205"/>
      <c r="S119" s="205"/>
      <c r="T119" s="299"/>
    </row>
    <row r="120" spans="1:33" ht="27.75" customHeight="1">
      <c r="B120" s="217" t="s">
        <v>181</v>
      </c>
      <c r="C120" s="309">
        <v>1</v>
      </c>
      <c r="D120" s="309">
        <v>2</v>
      </c>
      <c r="E120" s="309">
        <v>3</v>
      </c>
      <c r="F120" s="309">
        <v>4</v>
      </c>
      <c r="G120" s="309">
        <v>5</v>
      </c>
      <c r="H120" s="309">
        <v>6</v>
      </c>
      <c r="I120" s="309">
        <v>7</v>
      </c>
      <c r="J120" s="309">
        <v>8</v>
      </c>
      <c r="K120" s="309">
        <v>9</v>
      </c>
      <c r="L120" s="309">
        <v>10</v>
      </c>
      <c r="M120" s="350" t="s">
        <v>384</v>
      </c>
      <c r="N120" s="351"/>
      <c r="O120" s="352"/>
      <c r="P120" s="217" t="s">
        <v>381</v>
      </c>
      <c r="Q120" s="217" t="s">
        <v>380</v>
      </c>
      <c r="R120" s="333" t="s">
        <v>385</v>
      </c>
      <c r="S120" s="334"/>
      <c r="T120" s="335"/>
    </row>
    <row r="121" spans="1:33" ht="18.75" customHeight="1" outlineLevel="1">
      <c r="A121" s="257"/>
      <c r="B121" s="221" t="s">
        <v>154</v>
      </c>
      <c r="C121" s="317" t="str">
        <f>C52</f>
        <v>A</v>
      </c>
      <c r="D121" s="228"/>
      <c r="E121" s="228"/>
      <c r="F121" s="228"/>
      <c r="G121" s="228"/>
      <c r="H121" s="228"/>
      <c r="I121" s="228"/>
      <c r="J121" s="228"/>
      <c r="K121" s="228"/>
      <c r="L121" s="228"/>
      <c r="M121" s="327" t="s">
        <v>362</v>
      </c>
      <c r="N121" s="328"/>
      <c r="O121" s="329"/>
      <c r="P121" s="229"/>
      <c r="Q121" s="256"/>
      <c r="R121" s="348" t="s">
        <v>519</v>
      </c>
      <c r="S121" s="348"/>
      <c r="T121" s="348"/>
    </row>
    <row r="122" spans="1:33" ht="18.75" customHeight="1" outlineLevel="1">
      <c r="A122" s="257"/>
      <c r="B122" s="221" t="s">
        <v>154</v>
      </c>
      <c r="C122" s="317" t="str">
        <f>C50</f>
        <v>A</v>
      </c>
      <c r="D122" s="228"/>
      <c r="E122" s="228"/>
      <c r="F122" s="228"/>
      <c r="G122" s="228"/>
      <c r="H122" s="228"/>
      <c r="I122" s="228"/>
      <c r="J122" s="228"/>
      <c r="K122" s="228"/>
      <c r="L122" s="228"/>
      <c r="M122" s="327" t="s">
        <v>363</v>
      </c>
      <c r="N122" s="328"/>
      <c r="O122" s="329"/>
      <c r="P122" s="229"/>
      <c r="Q122" s="256"/>
      <c r="R122" s="348" t="s">
        <v>413</v>
      </c>
      <c r="S122" s="348"/>
      <c r="T122" s="348"/>
    </row>
    <row r="123" spans="1:33" ht="18.75" outlineLevel="1">
      <c r="A123" s="257"/>
      <c r="B123" s="221" t="s">
        <v>154</v>
      </c>
      <c r="C123" s="317" t="str">
        <f>C51</f>
        <v>A</v>
      </c>
      <c r="D123" s="228"/>
      <c r="E123" s="228"/>
      <c r="F123" s="228"/>
      <c r="G123" s="228"/>
      <c r="H123" s="228"/>
      <c r="I123" s="228"/>
      <c r="J123" s="228"/>
      <c r="K123" s="228"/>
      <c r="L123" s="228"/>
      <c r="M123" s="327" t="s">
        <v>364</v>
      </c>
      <c r="N123" s="328"/>
      <c r="O123" s="329"/>
      <c r="P123" s="229"/>
      <c r="Q123" s="256"/>
      <c r="R123" s="348" t="s">
        <v>412</v>
      </c>
      <c r="S123" s="348"/>
      <c r="T123" s="348"/>
    </row>
    <row r="124" spans="1:33" ht="18.75" customHeight="1" outlineLevel="1">
      <c r="A124" s="257"/>
      <c r="B124" s="221" t="s">
        <v>154</v>
      </c>
      <c r="C124" s="317" t="str">
        <f>C53</f>
        <v>A</v>
      </c>
      <c r="D124" s="228"/>
      <c r="E124" s="228"/>
      <c r="F124" s="228"/>
      <c r="G124" s="228"/>
      <c r="H124" s="228"/>
      <c r="I124" s="228"/>
      <c r="J124" s="228"/>
      <c r="K124" s="228"/>
      <c r="L124" s="228"/>
      <c r="M124" s="327" t="s">
        <v>365</v>
      </c>
      <c r="N124" s="328"/>
      <c r="O124" s="329"/>
      <c r="P124" s="229"/>
      <c r="Q124" s="256"/>
      <c r="R124" s="348" t="s">
        <v>401</v>
      </c>
      <c r="S124" s="348"/>
      <c r="T124" s="348"/>
    </row>
    <row r="125" spans="1:33" ht="18.75" outlineLevel="1">
      <c r="A125" s="257"/>
      <c r="B125" s="221" t="s">
        <v>156</v>
      </c>
      <c r="C125" s="317" t="str">
        <f>C96</f>
        <v>A</v>
      </c>
      <c r="D125" s="228"/>
      <c r="E125" s="228"/>
      <c r="F125" s="228"/>
      <c r="G125" s="228"/>
      <c r="H125" s="228"/>
      <c r="I125" s="228"/>
      <c r="J125" s="228"/>
      <c r="K125" s="228"/>
      <c r="L125" s="228"/>
      <c r="M125" s="327" t="s">
        <v>366</v>
      </c>
      <c r="N125" s="328"/>
      <c r="O125" s="329"/>
      <c r="P125" s="229"/>
      <c r="Q125" s="256"/>
      <c r="R125" s="348" t="s">
        <v>411</v>
      </c>
      <c r="S125" s="348"/>
      <c r="T125" s="348"/>
    </row>
    <row r="126" spans="1:33" ht="18.75" customHeight="1" outlineLevel="1">
      <c r="A126" s="257"/>
      <c r="B126" s="221" t="s">
        <v>156</v>
      </c>
      <c r="C126" s="317" t="str">
        <f>C95</f>
        <v>A</v>
      </c>
      <c r="D126" s="228"/>
      <c r="E126" s="228"/>
      <c r="F126" s="228"/>
      <c r="G126" s="228"/>
      <c r="H126" s="228"/>
      <c r="I126" s="228"/>
      <c r="J126" s="228"/>
      <c r="K126" s="228"/>
      <c r="L126" s="228"/>
      <c r="M126" s="327" t="s">
        <v>367</v>
      </c>
      <c r="N126" s="328"/>
      <c r="O126" s="329"/>
      <c r="P126" s="229"/>
      <c r="Q126" s="256"/>
      <c r="R126" s="348" t="s">
        <v>410</v>
      </c>
      <c r="S126" s="348"/>
      <c r="T126" s="348"/>
    </row>
    <row r="127" spans="1:33" ht="18.75" outlineLevel="1">
      <c r="A127" s="257"/>
      <c r="B127" s="221" t="s">
        <v>311</v>
      </c>
      <c r="C127" s="317" t="str">
        <f>C87</f>
        <v>A</v>
      </c>
      <c r="D127" s="228"/>
      <c r="E127" s="228"/>
      <c r="F127" s="228"/>
      <c r="G127" s="228"/>
      <c r="H127" s="228"/>
      <c r="I127" s="228"/>
      <c r="J127" s="228"/>
      <c r="K127" s="228"/>
      <c r="L127" s="228"/>
      <c r="M127" s="327" t="s">
        <v>368</v>
      </c>
      <c r="N127" s="328"/>
      <c r="O127" s="329"/>
      <c r="P127" s="229"/>
      <c r="Q127" s="256"/>
      <c r="R127" s="348" t="s">
        <v>409</v>
      </c>
      <c r="S127" s="348"/>
      <c r="T127" s="348"/>
    </row>
    <row r="128" spans="1:33" ht="18.75" customHeight="1" outlineLevel="1">
      <c r="A128" s="257"/>
      <c r="B128" s="221" t="s">
        <v>326</v>
      </c>
      <c r="C128" s="317" t="str">
        <f>C76</f>
        <v>A</v>
      </c>
      <c r="D128" s="228"/>
      <c r="E128" s="228"/>
      <c r="F128" s="228"/>
      <c r="G128" s="228"/>
      <c r="H128" s="228"/>
      <c r="I128" s="228"/>
      <c r="J128" s="228"/>
      <c r="K128" s="228"/>
      <c r="L128" s="228"/>
      <c r="M128" s="327" t="s">
        <v>369</v>
      </c>
      <c r="N128" s="328"/>
      <c r="O128" s="329"/>
      <c r="P128" s="229"/>
      <c r="Q128" s="256"/>
      <c r="R128" s="348" t="s">
        <v>391</v>
      </c>
      <c r="S128" s="348"/>
      <c r="T128" s="348"/>
    </row>
    <row r="129" spans="1:20" ht="18.75" customHeight="1" outlineLevel="1">
      <c r="A129" s="257"/>
      <c r="B129" s="221" t="s">
        <v>326</v>
      </c>
      <c r="C129" s="317" t="str">
        <f>C71</f>
        <v>A</v>
      </c>
      <c r="D129" s="228"/>
      <c r="E129" s="228"/>
      <c r="F129" s="228"/>
      <c r="G129" s="228"/>
      <c r="H129" s="228"/>
      <c r="I129" s="228"/>
      <c r="J129" s="228"/>
      <c r="K129" s="228"/>
      <c r="L129" s="228"/>
      <c r="M129" s="327" t="s">
        <v>370</v>
      </c>
      <c r="N129" s="328"/>
      <c r="O129" s="329"/>
      <c r="P129" s="229"/>
      <c r="Q129" s="256"/>
      <c r="R129" s="348" t="s">
        <v>304</v>
      </c>
      <c r="S129" s="348"/>
      <c r="T129" s="348"/>
    </row>
    <row r="130" spans="1:20" ht="18.75" customHeight="1" outlineLevel="1">
      <c r="A130" s="257"/>
      <c r="B130" s="221" t="s">
        <v>322</v>
      </c>
      <c r="C130" s="317" t="str">
        <f>C68</f>
        <v>A</v>
      </c>
      <c r="D130" s="228"/>
      <c r="E130" s="228"/>
      <c r="F130" s="228"/>
      <c r="G130" s="228"/>
      <c r="H130" s="228"/>
      <c r="I130" s="228"/>
      <c r="J130" s="228"/>
      <c r="K130" s="228"/>
      <c r="L130" s="228"/>
      <c r="M130" s="327" t="s">
        <v>371</v>
      </c>
      <c r="N130" s="328"/>
      <c r="O130" s="329"/>
      <c r="P130" s="229"/>
      <c r="Q130" s="256"/>
      <c r="R130" s="348" t="s">
        <v>408</v>
      </c>
      <c r="S130" s="348"/>
      <c r="T130" s="348"/>
    </row>
    <row r="131" spans="1:20" ht="18.75" outlineLevel="1">
      <c r="A131" s="257"/>
      <c r="B131" s="221" t="s">
        <v>175</v>
      </c>
      <c r="C131" s="317" t="str">
        <f>C61</f>
        <v>A</v>
      </c>
      <c r="D131" s="228"/>
      <c r="E131" s="228"/>
      <c r="F131" s="228"/>
      <c r="G131" s="228"/>
      <c r="H131" s="228"/>
      <c r="I131" s="228"/>
      <c r="J131" s="228"/>
      <c r="K131" s="228"/>
      <c r="L131" s="228"/>
      <c r="M131" s="327" t="s">
        <v>372</v>
      </c>
      <c r="N131" s="328"/>
      <c r="O131" s="329"/>
      <c r="P131" s="229"/>
      <c r="Q131" s="256"/>
      <c r="R131" s="348" t="s">
        <v>518</v>
      </c>
      <c r="S131" s="348"/>
      <c r="T131" s="348"/>
    </row>
    <row r="132" spans="1:20" ht="18.75" customHeight="1" outlineLevel="1">
      <c r="A132" s="257"/>
      <c r="B132" s="221" t="s">
        <v>175</v>
      </c>
      <c r="C132" s="317" t="str">
        <f>C64</f>
        <v>A</v>
      </c>
      <c r="D132" s="228"/>
      <c r="E132" s="228"/>
      <c r="F132" s="228"/>
      <c r="G132" s="228"/>
      <c r="H132" s="228"/>
      <c r="I132" s="228"/>
      <c r="J132" s="228"/>
      <c r="K132" s="228"/>
      <c r="L132" s="228"/>
      <c r="M132" s="327" t="s">
        <v>373</v>
      </c>
      <c r="N132" s="328"/>
      <c r="O132" s="329"/>
      <c r="P132" s="229"/>
      <c r="Q132" s="256"/>
      <c r="R132" s="348" t="s">
        <v>520</v>
      </c>
      <c r="S132" s="348"/>
      <c r="T132" s="348"/>
    </row>
    <row r="133" spans="1:20" ht="18.75" customHeight="1" outlineLevel="1">
      <c r="A133" s="257"/>
      <c r="B133" s="221" t="s">
        <v>175</v>
      </c>
      <c r="C133" s="317" t="str">
        <f>C63</f>
        <v>A</v>
      </c>
      <c r="D133" s="228"/>
      <c r="E133" s="228"/>
      <c r="F133" s="228"/>
      <c r="G133" s="228"/>
      <c r="H133" s="228"/>
      <c r="I133" s="228"/>
      <c r="J133" s="228"/>
      <c r="K133" s="228"/>
      <c r="L133" s="228"/>
      <c r="M133" s="327" t="s">
        <v>374</v>
      </c>
      <c r="N133" s="328"/>
      <c r="O133" s="329"/>
      <c r="P133" s="229"/>
      <c r="Q133" s="256"/>
      <c r="R133" s="348" t="s">
        <v>407</v>
      </c>
      <c r="S133" s="348"/>
      <c r="T133" s="348"/>
    </row>
    <row r="134" spans="1:20" ht="18.75" customHeight="1" outlineLevel="1">
      <c r="A134" s="257"/>
      <c r="B134" s="221" t="s">
        <v>175</v>
      </c>
      <c r="C134" s="317" t="str">
        <f>C62</f>
        <v>A</v>
      </c>
      <c r="D134" s="228"/>
      <c r="E134" s="228"/>
      <c r="F134" s="228"/>
      <c r="G134" s="228"/>
      <c r="H134" s="228"/>
      <c r="I134" s="228"/>
      <c r="J134" s="228"/>
      <c r="K134" s="228"/>
      <c r="L134" s="228"/>
      <c r="M134" s="327" t="s">
        <v>375</v>
      </c>
      <c r="N134" s="328"/>
      <c r="O134" s="329"/>
      <c r="P134" s="229"/>
      <c r="Q134" s="256"/>
      <c r="R134" s="349" t="s">
        <v>406</v>
      </c>
      <c r="S134" s="349"/>
      <c r="T134" s="349"/>
    </row>
    <row r="135" spans="1:20" ht="18.75" outlineLevel="1">
      <c r="A135" s="257"/>
      <c r="B135" s="221" t="s">
        <v>376</v>
      </c>
      <c r="C135" s="317" t="str">
        <f>C43</f>
        <v>A</v>
      </c>
      <c r="D135" s="228"/>
      <c r="E135" s="228"/>
      <c r="F135" s="228"/>
      <c r="G135" s="228"/>
      <c r="H135" s="228"/>
      <c r="I135" s="228"/>
      <c r="J135" s="228"/>
      <c r="K135" s="228"/>
      <c r="L135" s="228"/>
      <c r="M135" s="327" t="s">
        <v>377</v>
      </c>
      <c r="N135" s="328"/>
      <c r="O135" s="329"/>
      <c r="P135" s="229"/>
      <c r="Q135" s="256"/>
      <c r="R135" s="349" t="s">
        <v>387</v>
      </c>
      <c r="S135" s="349"/>
      <c r="T135" s="349"/>
    </row>
    <row r="136" spans="1:20" ht="18.75" customHeight="1" outlineLevel="1">
      <c r="A136" s="257"/>
      <c r="B136" s="221" t="s">
        <v>376</v>
      </c>
      <c r="C136" s="317" t="str">
        <f>C56</f>
        <v>A</v>
      </c>
      <c r="D136" s="228"/>
      <c r="E136" s="228"/>
      <c r="F136" s="228"/>
      <c r="G136" s="228"/>
      <c r="H136" s="228"/>
      <c r="I136" s="228"/>
      <c r="J136" s="228"/>
      <c r="K136" s="228"/>
      <c r="L136" s="228"/>
      <c r="M136" s="327" t="s">
        <v>378</v>
      </c>
      <c r="N136" s="328"/>
      <c r="O136" s="329"/>
      <c r="P136" s="229"/>
      <c r="Q136" s="256"/>
      <c r="R136" s="349" t="s">
        <v>390</v>
      </c>
      <c r="S136" s="349"/>
      <c r="T136" s="349"/>
    </row>
    <row r="137" spans="1:20" ht="18.75" outlineLevel="1">
      <c r="A137" s="258"/>
      <c r="B137" s="221" t="s">
        <v>376</v>
      </c>
      <c r="C137" s="317" t="str">
        <f>C44</f>
        <v>A</v>
      </c>
      <c r="D137" s="228"/>
      <c r="E137" s="228"/>
      <c r="F137" s="228"/>
      <c r="G137" s="228"/>
      <c r="H137" s="228"/>
      <c r="I137" s="228"/>
      <c r="J137" s="228"/>
      <c r="K137" s="228"/>
      <c r="L137" s="228"/>
      <c r="M137" s="327" t="s">
        <v>379</v>
      </c>
      <c r="N137" s="328"/>
      <c r="O137" s="329"/>
      <c r="P137" s="229"/>
      <c r="Q137" s="256"/>
      <c r="R137" s="349" t="s">
        <v>388</v>
      </c>
      <c r="S137" s="349"/>
      <c r="T137" s="349"/>
    </row>
    <row r="138" spans="1:20" outlineLevel="1">
      <c r="O138" s="255" t="s">
        <v>142</v>
      </c>
      <c r="P138" s="255">
        <f>COUNT(P121:P137)</f>
        <v>0</v>
      </c>
      <c r="Q138" s="254">
        <f>SUM(Q121:Q137)</f>
        <v>0</v>
      </c>
    </row>
  </sheetData>
  <mergeCells count="164">
    <mergeCell ref="R135:T135"/>
    <mergeCell ref="R136:T136"/>
    <mergeCell ref="M113:T113"/>
    <mergeCell ref="U3:AF3"/>
    <mergeCell ref="S14:T14"/>
    <mergeCell ref="S15:T15"/>
    <mergeCell ref="S16:T16"/>
    <mergeCell ref="S17:T17"/>
    <mergeCell ref="S18:T18"/>
    <mergeCell ref="C18:O18"/>
    <mergeCell ref="E11:E12"/>
    <mergeCell ref="F11:F12"/>
    <mergeCell ref="G11:G12"/>
    <mergeCell ref="H11:H12"/>
    <mergeCell ref="C31:T31"/>
    <mergeCell ref="C32:T32"/>
    <mergeCell ref="S33:T33"/>
    <mergeCell ref="M91:T91"/>
    <mergeCell ref="M92:T92"/>
    <mergeCell ref="K11:K12"/>
    <mergeCell ref="L11:L12"/>
    <mergeCell ref="M11:Q12"/>
    <mergeCell ref="M10:Q10"/>
    <mergeCell ref="R10:T10"/>
    <mergeCell ref="R11:T11"/>
    <mergeCell ref="R12:T12"/>
    <mergeCell ref="R137:T137"/>
    <mergeCell ref="R120:T120"/>
    <mergeCell ref="M103:T103"/>
    <mergeCell ref="D104:S104"/>
    <mergeCell ref="D105:S105"/>
    <mergeCell ref="D106:S106"/>
    <mergeCell ref="D107:S107"/>
    <mergeCell ref="R121:T121"/>
    <mergeCell ref="R122:T122"/>
    <mergeCell ref="R123:T123"/>
    <mergeCell ref="R124:T124"/>
    <mergeCell ref="R125:T125"/>
    <mergeCell ref="R126:T126"/>
    <mergeCell ref="R127:T127"/>
    <mergeCell ref="R128:T128"/>
    <mergeCell ref="R129:T129"/>
    <mergeCell ref="M48:T48"/>
    <mergeCell ref="M43:T43"/>
    <mergeCell ref="M44:T44"/>
    <mergeCell ref="M45:T45"/>
    <mergeCell ref="M46:T46"/>
    <mergeCell ref="M47:T47"/>
    <mergeCell ref="B33:B40"/>
    <mergeCell ref="S19:T19"/>
    <mergeCell ref="B20:T20"/>
    <mergeCell ref="M21:T21"/>
    <mergeCell ref="C14:O14"/>
    <mergeCell ref="C15:O15"/>
    <mergeCell ref="C16:O16"/>
    <mergeCell ref="C17:O17"/>
    <mergeCell ref="C19:O19"/>
    <mergeCell ref="M22:T22"/>
    <mergeCell ref="M23:T23"/>
    <mergeCell ref="M24:T24"/>
    <mergeCell ref="M25:T25"/>
    <mergeCell ref="M26:T26"/>
    <mergeCell ref="M27:T27"/>
    <mergeCell ref="M28:T28"/>
    <mergeCell ref="B29:T29"/>
    <mergeCell ref="B30:T30"/>
    <mergeCell ref="S40:T40"/>
    <mergeCell ref="D1:T1"/>
    <mergeCell ref="B2:T2"/>
    <mergeCell ref="C3:T3"/>
    <mergeCell ref="C4:T4"/>
    <mergeCell ref="C5:T5"/>
    <mergeCell ref="C6:T6"/>
    <mergeCell ref="C7:T7"/>
    <mergeCell ref="C8:T8"/>
    <mergeCell ref="C9:T9"/>
    <mergeCell ref="B11:B12"/>
    <mergeCell ref="C11:C12"/>
    <mergeCell ref="I11:I12"/>
    <mergeCell ref="J11:J12"/>
    <mergeCell ref="D11:D12"/>
    <mergeCell ref="M42:T42"/>
    <mergeCell ref="M110:T110"/>
    <mergeCell ref="M111:T111"/>
    <mergeCell ref="M112:T112"/>
    <mergeCell ref="M84:T84"/>
    <mergeCell ref="M85:T85"/>
    <mergeCell ref="M86:T86"/>
    <mergeCell ref="M87:T87"/>
    <mergeCell ref="M71:T71"/>
    <mergeCell ref="M72:T72"/>
    <mergeCell ref="M73:T73"/>
    <mergeCell ref="M74:T74"/>
    <mergeCell ref="M75:T75"/>
    <mergeCell ref="M76:T76"/>
    <mergeCell ref="M77:T77"/>
    <mergeCell ref="M78:T78"/>
    <mergeCell ref="M61:T61"/>
    <mergeCell ref="M62:T62"/>
    <mergeCell ref="M63:T63"/>
    <mergeCell ref="M49:T49"/>
    <mergeCell ref="M50:T50"/>
    <mergeCell ref="M51:T51"/>
    <mergeCell ref="M118:T118"/>
    <mergeCell ref="M120:O120"/>
    <mergeCell ref="M97:T97"/>
    <mergeCell ref="M98:T98"/>
    <mergeCell ref="M99:T99"/>
    <mergeCell ref="M79:T79"/>
    <mergeCell ref="M80:T80"/>
    <mergeCell ref="M81:T81"/>
    <mergeCell ref="M83:T83"/>
    <mergeCell ref="M88:T88"/>
    <mergeCell ref="M89:T89"/>
    <mergeCell ref="M90:T90"/>
    <mergeCell ref="M64:T64"/>
    <mergeCell ref="M66:T66"/>
    <mergeCell ref="M67:T67"/>
    <mergeCell ref="M68:T68"/>
    <mergeCell ref="M69:T69"/>
    <mergeCell ref="M52:T52"/>
    <mergeCell ref="M53:T53"/>
    <mergeCell ref="M54:T54"/>
    <mergeCell ref="M122:O122"/>
    <mergeCell ref="M123:O123"/>
    <mergeCell ref="M124:O124"/>
    <mergeCell ref="M100:T100"/>
    <mergeCell ref="M101:T101"/>
    <mergeCell ref="M94:T94"/>
    <mergeCell ref="M114:T114"/>
    <mergeCell ref="M134:O134"/>
    <mergeCell ref="M56:T56"/>
    <mergeCell ref="M57:T57"/>
    <mergeCell ref="M58:T58"/>
    <mergeCell ref="M59:T59"/>
    <mergeCell ref="R130:T130"/>
    <mergeCell ref="R131:T131"/>
    <mergeCell ref="R132:T132"/>
    <mergeCell ref="R133:T133"/>
    <mergeCell ref="R134:T134"/>
    <mergeCell ref="M135:O135"/>
    <mergeCell ref="M136:O136"/>
    <mergeCell ref="M137:O137"/>
    <mergeCell ref="M93:T93"/>
    <mergeCell ref="M55:T55"/>
    <mergeCell ref="M60:T60"/>
    <mergeCell ref="M65:T65"/>
    <mergeCell ref="M70:T70"/>
    <mergeCell ref="M82:T82"/>
    <mergeCell ref="M95:O95"/>
    <mergeCell ref="M96:O96"/>
    <mergeCell ref="M125:O125"/>
    <mergeCell ref="M126:O126"/>
    <mergeCell ref="M127:O127"/>
    <mergeCell ref="M128:O128"/>
    <mergeCell ref="M129:O129"/>
    <mergeCell ref="M130:O130"/>
    <mergeCell ref="M131:O131"/>
    <mergeCell ref="M132:O132"/>
    <mergeCell ref="M133:O133"/>
    <mergeCell ref="M115:T115"/>
    <mergeCell ref="M116:T116"/>
    <mergeCell ref="M117:T117"/>
    <mergeCell ref="M121:O121"/>
  </mergeCells>
  <conditionalFormatting sqref="C13:N13 C93:L93 C41:N41 C11:L11 C15:N19 C21:L21 C22:M28 C42:L42 C60:L65 C70:L82 C55:L55">
    <cfRule type="cellIs" dxfId="179" priority="752" operator="equal">
      <formula>v_A</formula>
    </cfRule>
    <cfRule type="cellIs" dxfId="178" priority="759" operator="equal">
      <formula>v_D</formula>
    </cfRule>
    <cfRule type="cellIs" dxfId="177" priority="760" operator="equal">
      <formula>v_C</formula>
    </cfRule>
    <cfRule type="cellIs" dxfId="176" priority="761" operator="equal">
      <formula>v_B</formula>
    </cfRule>
  </conditionalFormatting>
  <conditionalFormatting sqref="C111:M118">
    <cfRule type="cellIs" dxfId="175" priority="259" operator="equal">
      <formula>v_A</formula>
    </cfRule>
    <cfRule type="cellIs" dxfId="174" priority="260" operator="equal">
      <formula>v_D</formula>
    </cfRule>
    <cfRule type="cellIs" dxfId="173" priority="261" operator="equal">
      <formula>v_C</formula>
    </cfRule>
    <cfRule type="cellIs" dxfId="172" priority="262" operator="equal">
      <formula>v_B</formula>
    </cfRule>
  </conditionalFormatting>
  <conditionalFormatting sqref="S15">
    <cfRule type="cellIs" dxfId="171" priority="242" operator="equal">
      <formula>"LOST"</formula>
    </cfRule>
    <cfRule type="cellIs" dxfId="170" priority="243" operator="equal">
      <formula>"WIP"</formula>
    </cfRule>
    <cfRule type="cellIs" dxfId="169" priority="244" operator="equal">
      <formula>"DONE"</formula>
    </cfRule>
    <cfRule type="cellIs" dxfId="168" priority="245" operator="equal">
      <formula>"TODO"</formula>
    </cfRule>
    <cfRule type="cellIs" dxfId="167" priority="246" operator="equal">
      <formula>"new"</formula>
    </cfRule>
  </conditionalFormatting>
  <conditionalFormatting sqref="R12">
    <cfRule type="cellIs" dxfId="166" priority="229" operator="between">
      <formula>0.8</formula>
      <formula>1</formula>
    </cfRule>
    <cfRule type="cellIs" dxfId="165" priority="230" operator="between">
      <formula>0.51</formula>
      <formula>0.79</formula>
    </cfRule>
    <cfRule type="cellIs" dxfId="164" priority="231" operator="between">
      <formula>0.31</formula>
      <formula>0.5</formula>
    </cfRule>
    <cfRule type="cellIs" dxfId="163" priority="232" operator="between">
      <formula>0</formula>
      <formula>0.3</formula>
    </cfRule>
  </conditionalFormatting>
  <conditionalFormatting sqref="C110:L110">
    <cfRule type="cellIs" dxfId="162" priority="149" operator="equal">
      <formula>v_A</formula>
    </cfRule>
    <cfRule type="cellIs" dxfId="161" priority="150" operator="equal">
      <formula>v_D</formula>
    </cfRule>
    <cfRule type="cellIs" dxfId="160" priority="151" operator="equal">
      <formula>v_C</formula>
    </cfRule>
    <cfRule type="cellIs" dxfId="159" priority="152" operator="equal">
      <formula>v_B</formula>
    </cfRule>
  </conditionalFormatting>
  <conditionalFormatting sqref="C120:L120">
    <cfRule type="cellIs" dxfId="158" priority="145" operator="equal">
      <formula>v_A</formula>
    </cfRule>
    <cfRule type="cellIs" dxfId="157" priority="146" operator="equal">
      <formula>v_D</formula>
    </cfRule>
    <cfRule type="cellIs" dxfId="156" priority="147" operator="equal">
      <formula>v_C</formula>
    </cfRule>
    <cfRule type="cellIs" dxfId="155" priority="148" operator="equal">
      <formula>v_B</formula>
    </cfRule>
  </conditionalFormatting>
  <conditionalFormatting sqref="C121:L137">
    <cfRule type="cellIs" dxfId="154" priority="157" operator="equal">
      <formula>v_A</formula>
    </cfRule>
    <cfRule type="cellIs" dxfId="153" priority="158" operator="equal">
      <formula>v_D</formula>
    </cfRule>
    <cfRule type="cellIs" dxfId="152" priority="159" operator="equal">
      <formula>v_C</formula>
    </cfRule>
    <cfRule type="cellIs" dxfId="151" priority="160" operator="equal">
      <formula>v_B</formula>
    </cfRule>
  </conditionalFormatting>
  <conditionalFormatting sqref="S16">
    <cfRule type="cellIs" dxfId="150" priority="136" operator="equal">
      <formula>"LOST"</formula>
    </cfRule>
    <cfRule type="cellIs" dxfId="149" priority="137" operator="equal">
      <formula>"WIP"</formula>
    </cfRule>
    <cfRule type="cellIs" dxfId="148" priority="138" operator="equal">
      <formula>"DONE"</formula>
    </cfRule>
    <cfRule type="cellIs" dxfId="147" priority="139" operator="equal">
      <formula>"TODO"</formula>
    </cfRule>
    <cfRule type="cellIs" dxfId="146" priority="140" operator="equal">
      <formula>"new"</formula>
    </cfRule>
  </conditionalFormatting>
  <conditionalFormatting sqref="S17">
    <cfRule type="cellIs" dxfId="145" priority="127" operator="equal">
      <formula>"LOST"</formula>
    </cfRule>
    <cfRule type="cellIs" dxfId="144" priority="128" operator="equal">
      <formula>"WIP"</formula>
    </cfRule>
    <cfRule type="cellIs" dxfId="143" priority="129" operator="equal">
      <formula>"DONE"</formula>
    </cfRule>
    <cfRule type="cellIs" dxfId="142" priority="130" operator="equal">
      <formula>"TODO"</formula>
    </cfRule>
    <cfRule type="cellIs" dxfId="141" priority="131" operator="equal">
      <formula>"new"</formula>
    </cfRule>
  </conditionalFormatting>
  <conditionalFormatting sqref="S19">
    <cfRule type="cellIs" dxfId="140" priority="118" operator="equal">
      <formula>"LOST"</formula>
    </cfRule>
    <cfRule type="cellIs" dxfId="139" priority="119" operator="equal">
      <formula>"WIP"</formula>
    </cfRule>
    <cfRule type="cellIs" dxfId="138" priority="120" operator="equal">
      <formula>"DONE"</formula>
    </cfRule>
    <cfRule type="cellIs" dxfId="137" priority="121" operator="equal">
      <formula>"TODO"</formula>
    </cfRule>
    <cfRule type="cellIs" dxfId="136" priority="122" operator="equal">
      <formula>"new"</formula>
    </cfRule>
  </conditionalFormatting>
  <conditionalFormatting sqref="S18">
    <cfRule type="cellIs" dxfId="135" priority="109" operator="equal">
      <formula>"LOST"</formula>
    </cfRule>
    <cfRule type="cellIs" dxfId="134" priority="110" operator="equal">
      <formula>"WIP"</formula>
    </cfRule>
    <cfRule type="cellIs" dxfId="133" priority="111" operator="equal">
      <formula>"DONE"</formula>
    </cfRule>
    <cfRule type="cellIs" dxfId="132" priority="112" operator="equal">
      <formula>"TODO"</formula>
    </cfRule>
    <cfRule type="cellIs" dxfId="131" priority="113" operator="equal">
      <formula>"new"</formula>
    </cfRule>
  </conditionalFormatting>
  <conditionalFormatting sqref="C56:L59">
    <cfRule type="cellIs" dxfId="130" priority="81" operator="equal">
      <formula>v_A</formula>
    </cfRule>
    <cfRule type="cellIs" dxfId="129" priority="82" operator="equal">
      <formula>v_D</formula>
    </cfRule>
    <cfRule type="cellIs" dxfId="128" priority="83" operator="equal">
      <formula>v_C</formula>
    </cfRule>
    <cfRule type="cellIs" dxfId="127" priority="84" operator="equal">
      <formula>v_B</formula>
    </cfRule>
  </conditionalFormatting>
  <conditionalFormatting sqref="C66:L69">
    <cfRule type="cellIs" dxfId="126" priority="73" operator="equal">
      <formula>v_A</formula>
    </cfRule>
    <cfRule type="cellIs" dxfId="125" priority="74" operator="equal">
      <formula>v_D</formula>
    </cfRule>
    <cfRule type="cellIs" dxfId="124" priority="75" operator="equal">
      <formula>v_C</formula>
    </cfRule>
    <cfRule type="cellIs" dxfId="123" priority="76" operator="equal">
      <formula>v_B</formula>
    </cfRule>
  </conditionalFormatting>
  <conditionalFormatting sqref="C83:L92">
    <cfRule type="cellIs" dxfId="122" priority="65" operator="equal">
      <formula>v_A</formula>
    </cfRule>
    <cfRule type="cellIs" dxfId="121" priority="66" operator="equal">
      <formula>v_D</formula>
    </cfRule>
    <cfRule type="cellIs" dxfId="120" priority="67" operator="equal">
      <formula>v_C</formula>
    </cfRule>
    <cfRule type="cellIs" dxfId="119" priority="68" operator="equal">
      <formula>v_B</formula>
    </cfRule>
  </conditionalFormatting>
  <conditionalFormatting sqref="C96:L101 C95:M95 C94:L94">
    <cfRule type="cellIs" dxfId="118" priority="61" operator="equal">
      <formula>v_A</formula>
    </cfRule>
    <cfRule type="cellIs" dxfId="117" priority="62" operator="equal">
      <formula>v_D</formula>
    </cfRule>
    <cfRule type="cellIs" dxfId="116" priority="63" operator="equal">
      <formula>v_C</formula>
    </cfRule>
    <cfRule type="cellIs" dxfId="115" priority="64" operator="equal">
      <formula>v_B</formula>
    </cfRule>
  </conditionalFormatting>
  <conditionalFormatting sqref="M43">
    <cfRule type="cellIs" dxfId="114" priority="53" operator="equal">
      <formula>v_A</formula>
    </cfRule>
    <cfRule type="cellIs" dxfId="113" priority="54" operator="equal">
      <formula>v_D</formula>
    </cfRule>
    <cfRule type="cellIs" dxfId="112" priority="55" operator="equal">
      <formula>v_C</formula>
    </cfRule>
    <cfRule type="cellIs" dxfId="111" priority="56" operator="equal">
      <formula>v_B</formula>
    </cfRule>
  </conditionalFormatting>
  <conditionalFormatting sqref="C103">
    <cfRule type="cellIs" dxfId="110" priority="49" operator="equal">
      <formula>v_A</formula>
    </cfRule>
    <cfRule type="cellIs" dxfId="109" priority="50" operator="equal">
      <formula>v_D</formula>
    </cfRule>
    <cfRule type="cellIs" dxfId="108" priority="51" operator="equal">
      <formula>v_C</formula>
    </cfRule>
    <cfRule type="cellIs" dxfId="107" priority="52" operator="equal">
      <formula>v_B</formula>
    </cfRule>
  </conditionalFormatting>
  <conditionalFormatting sqref="M44:M54">
    <cfRule type="cellIs" dxfId="106" priority="45" operator="equal">
      <formula>v_A</formula>
    </cfRule>
    <cfRule type="cellIs" dxfId="105" priority="46" operator="equal">
      <formula>v_D</formula>
    </cfRule>
    <cfRule type="cellIs" dxfId="104" priority="47" operator="equal">
      <formula>v_C</formula>
    </cfRule>
    <cfRule type="cellIs" dxfId="103" priority="48" operator="equal">
      <formula>v_B</formula>
    </cfRule>
  </conditionalFormatting>
  <conditionalFormatting sqref="M97:M101">
    <cfRule type="cellIs" dxfId="102" priority="5" operator="equal">
      <formula>v_A</formula>
    </cfRule>
    <cfRule type="cellIs" dxfId="101" priority="6" operator="equal">
      <formula>v_D</formula>
    </cfRule>
    <cfRule type="cellIs" dxfId="100" priority="7" operator="equal">
      <formula>v_C</formula>
    </cfRule>
    <cfRule type="cellIs" dxfId="99" priority="8" operator="equal">
      <formula>v_B</formula>
    </cfRule>
  </conditionalFormatting>
  <conditionalFormatting sqref="M56:M59">
    <cfRule type="cellIs" dxfId="98" priority="37" operator="equal">
      <formula>v_A</formula>
    </cfRule>
    <cfRule type="cellIs" dxfId="97" priority="38" operator="equal">
      <formula>v_D</formula>
    </cfRule>
    <cfRule type="cellIs" dxfId="96" priority="39" operator="equal">
      <formula>v_C</formula>
    </cfRule>
    <cfRule type="cellIs" dxfId="95" priority="40" operator="equal">
      <formula>v_B</formula>
    </cfRule>
  </conditionalFormatting>
  <conditionalFormatting sqref="M61:M64">
    <cfRule type="cellIs" dxfId="94" priority="33" operator="equal">
      <formula>v_A</formula>
    </cfRule>
    <cfRule type="cellIs" dxfId="93" priority="34" operator="equal">
      <formula>v_D</formula>
    </cfRule>
    <cfRule type="cellIs" dxfId="92" priority="35" operator="equal">
      <formula>v_C</formula>
    </cfRule>
    <cfRule type="cellIs" dxfId="91" priority="36" operator="equal">
      <formula>v_B</formula>
    </cfRule>
  </conditionalFormatting>
  <conditionalFormatting sqref="M66:M69">
    <cfRule type="cellIs" dxfId="90" priority="29" operator="equal">
      <formula>v_A</formula>
    </cfRule>
    <cfRule type="cellIs" dxfId="89" priority="30" operator="equal">
      <formula>v_D</formula>
    </cfRule>
    <cfRule type="cellIs" dxfId="88" priority="31" operator="equal">
      <formula>v_C</formula>
    </cfRule>
    <cfRule type="cellIs" dxfId="87" priority="32" operator="equal">
      <formula>v_B</formula>
    </cfRule>
  </conditionalFormatting>
  <conditionalFormatting sqref="M71:M81">
    <cfRule type="cellIs" dxfId="86" priority="25" operator="equal">
      <formula>v_A</formula>
    </cfRule>
    <cfRule type="cellIs" dxfId="85" priority="26" operator="equal">
      <formula>v_D</formula>
    </cfRule>
    <cfRule type="cellIs" dxfId="84" priority="27" operator="equal">
      <formula>v_C</formula>
    </cfRule>
    <cfRule type="cellIs" dxfId="83" priority="28" operator="equal">
      <formula>v_B</formula>
    </cfRule>
  </conditionalFormatting>
  <conditionalFormatting sqref="M94">
    <cfRule type="cellIs" dxfId="82" priority="9" operator="equal">
      <formula>v_A</formula>
    </cfRule>
    <cfRule type="cellIs" dxfId="81" priority="10" operator="equal">
      <formula>v_D</formula>
    </cfRule>
    <cfRule type="cellIs" dxfId="80" priority="11" operator="equal">
      <formula>v_C</formula>
    </cfRule>
    <cfRule type="cellIs" dxfId="79" priority="12" operator="equal">
      <formula>v_B</formula>
    </cfRule>
  </conditionalFormatting>
  <conditionalFormatting sqref="M83:M92">
    <cfRule type="cellIs" dxfId="78" priority="13" operator="equal">
      <formula>v_A</formula>
    </cfRule>
    <cfRule type="cellIs" dxfId="77" priority="14" operator="equal">
      <formula>v_D</formula>
    </cfRule>
    <cfRule type="cellIs" dxfId="76" priority="15" operator="equal">
      <formula>v_C</formula>
    </cfRule>
    <cfRule type="cellIs" dxfId="75" priority="16" operator="equal">
      <formula>v_B</formula>
    </cfRule>
  </conditionalFormatting>
  <conditionalFormatting sqref="C43:L54">
    <cfRule type="cellIs" dxfId="74" priority="1" operator="equal">
      <formula>v_A</formula>
    </cfRule>
    <cfRule type="cellIs" dxfId="73" priority="2" operator="equal">
      <formula>v_D</formula>
    </cfRule>
    <cfRule type="cellIs" dxfId="72" priority="3" operator="equal">
      <formula>v_C</formula>
    </cfRule>
    <cfRule type="cellIs" dxfId="71" priority="4" operator="equal">
      <formula>v_B</formula>
    </cfRule>
  </conditionalFormatting>
  <dataValidations count="2">
    <dataValidation type="list" allowBlank="1" showInputMessage="1" showErrorMessage="1" sqref="U43:U101 B22:B28 B15:B19 B117">
      <formula1>v_Domain</formula1>
    </dataValidation>
    <dataValidation type="list" allowBlank="1" showInputMessage="1" showErrorMessage="1" sqref="B111:B116 V43:V101">
      <formula1>v_Topic</formula1>
    </dataValidation>
  </dataValidations>
  <hyperlinks>
    <hyperlink ref="R11:S11" r:id="rId215" display="P-000XXXX"/>
    <hyperlink ref="N35" r:id="rId216"/>
    <hyperlink ref="N36:N38" r:id="rId217" display="DSXXXXXXXXXXXXX"/>
    <hyperlink ref="P96" r:id="rId218"/>
    <hyperlink ref="Q96:T96" r:id="rId219" display="month/year- Product number"/>
    <hyperlink ref="P95" r:id="rId220"/>
    <hyperlink ref="Q95:T95" r:id="rId221" display="Baseline 1 - product number"/>
  </hyperlinks>
  <pageMargins left="0.7" right="0.7" top="0.75" bottom="0.75" header="0.3" footer="0.3"/>
  <pageSetup paperSize="9" scale="40" fitToHeight="0" orientation="portrait" horizontalDpi="1200" verticalDpi="1200" r:id="rId8"/>
  <drawing r:id="rId9"/>
  <legacyDrawing r:id="rId10"/>
  <extLst>
    <ext uri="{CCE6A557-97BC-4b89-ADB6-D9C93CAAB3DF}">
      <x14:dataValidations xmlns:xm="http://schemas.microsoft.com/office/excel/2006/main" count="4">
        <x14:dataValidation type="list" allowBlank="1" showInputMessage="1" showErrorMessage="1">
          <x14:formula1>
            <xm:f>'Control Data'!$O$3:$O$5</xm:f>
          </x14:formula1>
          <xm:sqref>Q15:Q19</xm:sqref>
        </x14:dataValidation>
        <x14:dataValidation type="list" allowBlank="1" showInputMessage="1" showErrorMessage="1">
          <x14:formula1>
            <xm:f>'Control Data'!$N$3:$N$7</xm:f>
          </x14:formula1>
          <xm:sqref>S15:S19</xm:sqref>
        </x14:dataValidation>
        <x14:dataValidation type="list" allowBlank="1" showInputMessage="1" showErrorMessage="1">
          <x14:formula1>
            <xm:f>'Control Data'!$S$3:$S$4</xm:f>
          </x14:formula1>
          <xm:sqref>P121:P137</xm:sqref>
        </x14:dataValidation>
        <x14:dataValidation type="list" allowBlank="1" showInputMessage="1" showErrorMessage="1">
          <x14:formula1>
            <xm:f>'Control Data'!$I$3:$I$7</xm:f>
          </x14:formula1>
          <xm:sqref>C83:L92 C94:L101 C56:L59 C66:L69 C61:L64 C71:L81 M95 C43:L54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C52"/>
  <sheetViews>
    <sheetView showGridLines="0" zoomScale="96" zoomScaleNormal="96" zoomScaleSheetLayoutView="30" workbookViewId="0">
      <selection activeCell="C7" sqref="C7:E7"/>
    </sheetView>
  </sheetViews>
  <sheetFormatPr defaultColWidth="9.140625" defaultRowHeight="27" customHeight="1"/>
  <cols>
    <col min="1" max="1" customWidth="true" style="143" width="1.5703125" collapsed="true"/>
    <col min="2" max="2" customWidth="true" style="135" width="31.28515625" collapsed="true"/>
    <col min="3" max="3" customWidth="true" style="136" width="52.140625" collapsed="true"/>
    <col min="4" max="4" customWidth="true" style="135" width="18.5703125" collapsed="true"/>
    <col min="5" max="5" customWidth="true" style="135" width="74.140625" collapsed="true"/>
    <col min="6" max="6" customWidth="true" style="143" width="1.85546875" collapsed="true"/>
    <col min="7" max="7" customWidth="true" style="135" width="18.5703125" collapsed="true"/>
    <col min="8" max="8" customWidth="true" style="135" width="74.140625" collapsed="true"/>
    <col min="9" max="16384" style="143" width="9.140625" collapsed="true"/>
  </cols>
  <sheetData>
    <row r="1" spans="2:11" ht="50.45" customHeight="1">
      <c r="B1" s="404" t="s">
        <v>282</v>
      </c>
      <c r="C1" s="404"/>
      <c r="D1" s="404"/>
      <c r="E1" s="404"/>
      <c r="F1" s="116"/>
      <c r="G1" s="116"/>
      <c r="H1" s="116"/>
      <c r="I1" s="116"/>
    </row>
    <row r="2" spans="2:11" ht="21">
      <c r="B2" s="117" t="s">
        <v>340</v>
      </c>
      <c r="C2" s="405" t="s">
        <v>528</v>
      </c>
      <c r="D2" s="406"/>
      <c r="E2" s="407"/>
      <c r="F2" s="116"/>
      <c r="G2" s="116"/>
      <c r="H2" s="116"/>
      <c r="I2" s="116"/>
    </row>
    <row r="3" spans="2:11" ht="29.25" customHeight="1">
      <c r="B3" s="117" t="s">
        <v>96</v>
      </c>
      <c r="C3" s="408" t="s">
        <v>525</v>
      </c>
      <c r="D3" s="409"/>
      <c r="E3" s="260"/>
      <c r="G3" s="143"/>
      <c r="H3" s="143"/>
      <c r="K3" s="151"/>
    </row>
    <row r="4" spans="2:11" ht="15.75">
      <c r="B4" s="117" t="s">
        <v>167</v>
      </c>
      <c r="C4" s="410" t="s">
        <v>526</v>
      </c>
      <c r="D4" s="410"/>
      <c r="E4" s="410"/>
      <c r="F4" s="116"/>
      <c r="G4" s="116"/>
      <c r="H4" s="116"/>
      <c r="I4" s="116"/>
    </row>
    <row r="5" spans="2:11" ht="15.75">
      <c r="B5" s="117" t="s">
        <v>283</v>
      </c>
      <c r="C5" s="411" t="s">
        <v>527</v>
      </c>
      <c r="D5" s="411"/>
      <c r="E5" s="411"/>
      <c r="F5" s="116"/>
      <c r="G5" s="116"/>
      <c r="H5" s="116"/>
      <c r="I5" s="116"/>
    </row>
    <row r="6" spans="2:11" ht="47.25">
      <c r="B6" s="117" t="s">
        <v>284</v>
      </c>
      <c r="C6" s="412" t="s">
        <v>531</v>
      </c>
      <c r="D6" s="412"/>
      <c r="E6" s="412"/>
      <c r="F6" s="116"/>
      <c r="G6" s="116"/>
      <c r="H6" s="116"/>
      <c r="I6" s="116"/>
    </row>
    <row r="7" spans="2:11" ht="34.5" customHeight="1">
      <c r="B7" s="117" t="s">
        <v>285</v>
      </c>
      <c r="C7" s="398">
        <f>C8/C9</f>
        <v>0</v>
      </c>
      <c r="D7" s="399"/>
      <c r="E7" s="400"/>
      <c r="F7" s="116"/>
      <c r="G7" s="116"/>
      <c r="H7" s="116"/>
      <c r="I7" s="116"/>
    </row>
    <row r="8" spans="2:11" ht="38.1" hidden="1" customHeight="1">
      <c r="B8" s="117" t="s">
        <v>286</v>
      </c>
      <c r="C8" s="261">
        <f>SUM(D8,G8)</f>
        <v>0</v>
      </c>
      <c r="D8" s="261">
        <f>IF(E13=2,SUM(D17:D28),IF(E13=3,SUM(D17:D31),IF(E13=4,SUM(D17:D35),IF(E13=5,SUM(D17:D38),IF(E13=6,SUM(D17:D40),IF(E13=7,SUM(D17:D42)))))))</f>
        <v>0</v>
      </c>
      <c r="E8" s="152"/>
      <c r="F8" s="153"/>
      <c r="G8" s="261">
        <f>IF(H13=2, SUM(G17:G28), IF(H13=3, SUM(G17:G31), IF(H13=4, SUM(G17:G35), IF(H13=5, SUM(G17:G38),IF(H13=6,SUM(G17:G40),IF(H13=7,SUM(G17:G42)))))))</f>
        <v>0</v>
      </c>
      <c r="H8" s="262"/>
      <c r="I8" s="116"/>
    </row>
    <row r="9" spans="2:11" ht="38.1" hidden="1" customHeight="1">
      <c r="B9" s="117" t="s">
        <v>287</v>
      </c>
      <c r="C9" s="261">
        <f>SUM(D9,G9)</f>
        <v>40</v>
      </c>
      <c r="D9" s="263">
        <f>IF(E13=2, 9-COUNTIF(D17:D28, "NA"), IF(E13=3, 12-COUNTIF(D17:D31, "NA"), IF(E13=4, 16-COUNTIF(D17:D35, "NA"), IF(E13=5, 19-COUNTIF(D17:D38, "NA"), IF(E13=6, 20-COUNTIF(D17:D40, "NA"), IF(E13=7, 22-COUNTIF(D17:D42,"NA"),"NA"))))))</f>
        <v>20</v>
      </c>
      <c r="E9" s="154"/>
      <c r="F9" s="155"/>
      <c r="G9" s="263">
        <f>IF(H13=2, 9-COUNTIF(G17:G28, "NA"), IF(H13=3, 12-COUNTIF(G17:G31, "NA"), IF(H13=4, 16-COUNTIF(G17:G35, "NA"), IF(H13=5, 19-COUNTIF(G17:G38, "NA"), IF(H13=6, 20-COUNTIF(G17:G40, "NA"), IF(H13=7, 22-COUNTIF(G17:G42,"NA"),"NA"))))))</f>
        <v>20</v>
      </c>
      <c r="H9" s="264"/>
      <c r="I9" s="116"/>
    </row>
    <row r="10" spans="2:11" ht="38.1" customHeight="1">
      <c r="B10" s="154"/>
      <c r="C10" s="154"/>
      <c r="D10" s="118"/>
      <c r="E10" s="154"/>
      <c r="F10" s="116"/>
      <c r="G10" s="118"/>
      <c r="H10" s="154"/>
      <c r="I10" s="116"/>
    </row>
    <row r="11" spans="2:11" ht="32.450000000000003" customHeight="1">
      <c r="B11" s="119"/>
      <c r="C11" s="120"/>
      <c r="D11" s="401" t="s">
        <v>414</v>
      </c>
      <c r="E11" s="401"/>
      <c r="F11" s="116"/>
      <c r="G11" s="401" t="s">
        <v>414</v>
      </c>
      <c r="H11" s="401"/>
      <c r="I11" s="116"/>
    </row>
    <row r="12" spans="2:11" ht="32.450000000000003" customHeight="1">
      <c r="B12" s="119"/>
      <c r="C12" s="120"/>
      <c r="D12" s="402" t="s">
        <v>341</v>
      </c>
      <c r="E12" s="402"/>
      <c r="F12" s="116"/>
      <c r="G12" s="403" t="s">
        <v>342</v>
      </c>
      <c r="H12" s="403"/>
      <c r="I12" s="116"/>
    </row>
    <row r="13" spans="2:11" ht="32.450000000000003" customHeight="1">
      <c r="B13" s="119"/>
      <c r="C13" s="120"/>
      <c r="D13" s="117" t="s">
        <v>343</v>
      </c>
      <c r="E13" s="156">
        <v>6</v>
      </c>
      <c r="F13" s="116"/>
      <c r="G13" s="117" t="s">
        <v>343</v>
      </c>
      <c r="H13" s="265">
        <v>6</v>
      </c>
      <c r="I13" s="116"/>
    </row>
    <row r="14" spans="2:11" ht="32.450000000000003" customHeight="1">
      <c r="B14" s="119"/>
      <c r="C14" s="120"/>
      <c r="D14" s="117" t="s">
        <v>285</v>
      </c>
      <c r="E14" s="266">
        <f>D8/D9</f>
        <v>0</v>
      </c>
      <c r="F14" s="116"/>
      <c r="G14" s="117" t="s">
        <v>285</v>
      </c>
      <c r="H14" s="266">
        <f>G8/G9</f>
        <v>0</v>
      </c>
      <c r="I14" s="116"/>
    </row>
    <row r="15" spans="2:11" s="144" customFormat="1" ht="91.15" customHeight="1">
      <c r="B15" s="176" t="s">
        <v>288</v>
      </c>
      <c r="C15" s="176" t="s">
        <v>289</v>
      </c>
      <c r="D15" s="176" t="s">
        <v>415</v>
      </c>
      <c r="E15" s="176" t="s">
        <v>290</v>
      </c>
      <c r="F15" s="121"/>
      <c r="G15" s="176" t="s">
        <v>415</v>
      </c>
      <c r="H15" s="176" t="s">
        <v>290</v>
      </c>
      <c r="I15" s="121"/>
    </row>
    <row r="16" spans="2:11" s="123" customFormat="1" ht="24.95" customHeight="1">
      <c r="B16" s="395" t="s">
        <v>133</v>
      </c>
      <c r="C16" s="396"/>
      <c r="D16" s="396"/>
      <c r="E16" s="397"/>
      <c r="F16" s="157"/>
      <c r="G16" s="176"/>
      <c r="H16" s="176"/>
      <c r="I16" s="157"/>
    </row>
    <row r="17" spans="1:12" s="123" customFormat="1" ht="35.1" customHeight="1">
      <c r="B17" s="137" t="s">
        <v>57</v>
      </c>
      <c r="C17" s="158" t="s">
        <v>292</v>
      </c>
      <c r="D17" s="122"/>
      <c r="E17" s="159"/>
      <c r="F17" s="157"/>
      <c r="G17" s="122"/>
      <c r="H17" s="159"/>
    </row>
    <row r="18" spans="1:12" s="123" customFormat="1" ht="35.1" customHeight="1">
      <c r="B18" s="137" t="s">
        <v>57</v>
      </c>
      <c r="C18" s="156" t="s">
        <v>344</v>
      </c>
      <c r="D18" s="122"/>
      <c r="E18" s="160"/>
      <c r="F18" s="157"/>
      <c r="G18" s="122"/>
      <c r="H18" s="160"/>
      <c r="I18" s="157"/>
    </row>
    <row r="19" spans="1:12" s="123" customFormat="1" ht="35.1" customHeight="1">
      <c r="B19" s="137" t="s">
        <v>57</v>
      </c>
      <c r="C19" s="156" t="s">
        <v>345</v>
      </c>
      <c r="D19" s="122"/>
      <c r="E19" s="159"/>
      <c r="F19" s="157"/>
      <c r="G19" s="122"/>
      <c r="H19" s="159"/>
    </row>
    <row r="20" spans="1:12" s="144" customFormat="1" ht="24.95" customHeight="1">
      <c r="B20" s="395" t="s">
        <v>215</v>
      </c>
      <c r="C20" s="396"/>
      <c r="D20" s="396"/>
      <c r="E20" s="397"/>
      <c r="F20" s="121"/>
      <c r="G20" s="176"/>
      <c r="H20" s="176"/>
      <c r="I20" s="157"/>
      <c r="J20" s="157"/>
      <c r="K20" s="157"/>
      <c r="L20" s="157"/>
    </row>
    <row r="21" spans="1:12" ht="27" customHeight="1">
      <c r="B21" s="161" t="s">
        <v>195</v>
      </c>
      <c r="C21" s="156" t="s">
        <v>346</v>
      </c>
      <c r="D21" s="122"/>
      <c r="E21" s="160"/>
      <c r="G21" s="122"/>
      <c r="H21" s="160"/>
      <c r="I21" s="157"/>
    </row>
    <row r="22" spans="1:12" s="123" customFormat="1" ht="24.95" customHeight="1">
      <c r="A22" s="164"/>
      <c r="B22" s="395" t="s">
        <v>134</v>
      </c>
      <c r="C22" s="396"/>
      <c r="D22" s="396"/>
      <c r="E22" s="397"/>
      <c r="F22" s="157"/>
      <c r="G22" s="176"/>
      <c r="H22" s="176"/>
      <c r="I22" s="157"/>
    </row>
    <row r="23" spans="1:12" s="123" customFormat="1" ht="35.1" customHeight="1">
      <c r="B23" s="137" t="s">
        <v>197</v>
      </c>
      <c r="C23" s="163" t="s">
        <v>308</v>
      </c>
      <c r="D23" s="122"/>
      <c r="E23" s="159"/>
      <c r="F23" s="157"/>
      <c r="G23" s="122"/>
      <c r="H23" s="159"/>
    </row>
    <row r="24" spans="1:12" s="123" customFormat="1" ht="35.1" customHeight="1">
      <c r="B24" s="137" t="s">
        <v>197</v>
      </c>
      <c r="C24" s="156" t="s">
        <v>347</v>
      </c>
      <c r="D24" s="122"/>
      <c r="E24" s="159"/>
      <c r="F24" s="157"/>
      <c r="G24" s="122"/>
      <c r="H24" s="159"/>
    </row>
    <row r="25" spans="1:12" s="123" customFormat="1" ht="35.1" customHeight="1">
      <c r="B25" s="137" t="s">
        <v>197</v>
      </c>
      <c r="C25" s="156" t="s">
        <v>348</v>
      </c>
      <c r="D25" s="122"/>
      <c r="E25" s="159"/>
      <c r="F25" s="157"/>
      <c r="G25" s="122"/>
      <c r="H25" s="159"/>
    </row>
    <row r="26" spans="1:12" s="123" customFormat="1" ht="35.1" customHeight="1">
      <c r="B26" s="137" t="s">
        <v>197</v>
      </c>
      <c r="C26" s="156" t="s">
        <v>291</v>
      </c>
      <c r="D26" s="122"/>
      <c r="E26" s="159"/>
      <c r="F26" s="157"/>
      <c r="G26" s="122"/>
      <c r="H26" s="159"/>
    </row>
    <row r="27" spans="1:12" s="123" customFormat="1" ht="30" customHeight="1">
      <c r="B27" s="162" t="s">
        <v>197</v>
      </c>
      <c r="C27" s="163" t="s">
        <v>198</v>
      </c>
      <c r="D27" s="122"/>
      <c r="E27" s="159"/>
      <c r="F27" s="157"/>
      <c r="G27" s="122"/>
      <c r="H27" s="159"/>
    </row>
    <row r="28" spans="1:12" s="123" customFormat="1" ht="24.95" customHeight="1">
      <c r="B28" s="395" t="s">
        <v>135</v>
      </c>
      <c r="C28" s="396"/>
      <c r="D28" s="396"/>
      <c r="E28" s="397"/>
      <c r="F28" s="157"/>
      <c r="G28" s="176"/>
      <c r="H28" s="176"/>
      <c r="I28" s="157"/>
    </row>
    <row r="29" spans="1:12" s="123" customFormat="1" ht="35.1" customHeight="1">
      <c r="B29" s="137" t="s">
        <v>202</v>
      </c>
      <c r="C29" s="156" t="s">
        <v>349</v>
      </c>
      <c r="D29" s="122"/>
      <c r="E29" s="159"/>
      <c r="F29" s="157"/>
      <c r="G29" s="122"/>
      <c r="H29" s="159"/>
    </row>
    <row r="30" spans="1:12" s="123" customFormat="1" ht="35.1" customHeight="1">
      <c r="B30" s="137" t="s">
        <v>202</v>
      </c>
      <c r="C30" s="156" t="s">
        <v>350</v>
      </c>
      <c r="D30" s="122"/>
      <c r="E30" s="159"/>
      <c r="F30" s="157"/>
      <c r="G30" s="122"/>
      <c r="H30" s="159"/>
    </row>
    <row r="31" spans="1:12" s="124" customFormat="1" ht="35.1" customHeight="1">
      <c r="B31" s="137" t="s">
        <v>202</v>
      </c>
      <c r="C31" s="156" t="s">
        <v>351</v>
      </c>
      <c r="D31" s="122"/>
      <c r="E31" s="159"/>
      <c r="G31" s="122"/>
      <c r="H31" s="159"/>
      <c r="I31" s="157"/>
    </row>
    <row r="32" spans="1:12" s="124" customFormat="1" ht="35.1" customHeight="1">
      <c r="B32" s="137" t="s">
        <v>204</v>
      </c>
      <c r="C32" s="156" t="s">
        <v>305</v>
      </c>
      <c r="D32" s="122"/>
      <c r="E32" s="159"/>
      <c r="F32" s="165"/>
      <c r="G32" s="122"/>
      <c r="H32" s="159"/>
      <c r="I32" s="123"/>
    </row>
    <row r="33" spans="2:9" s="124" customFormat="1" ht="35.1" customHeight="1">
      <c r="B33" s="137" t="s">
        <v>204</v>
      </c>
      <c r="C33" s="156" t="s">
        <v>46</v>
      </c>
      <c r="D33" s="122"/>
      <c r="E33" s="159"/>
      <c r="F33" s="165"/>
      <c r="G33" s="122"/>
      <c r="H33" s="159"/>
      <c r="I33" s="157"/>
    </row>
    <row r="34" spans="2:9" s="124" customFormat="1" ht="35.1" customHeight="1">
      <c r="B34" s="137" t="s">
        <v>204</v>
      </c>
      <c r="C34" s="156" t="s">
        <v>293</v>
      </c>
      <c r="D34" s="122"/>
      <c r="E34" s="159"/>
      <c r="F34" s="165"/>
      <c r="G34" s="122"/>
      <c r="H34" s="159"/>
      <c r="I34" s="123"/>
    </row>
    <row r="35" spans="2:9" s="124" customFormat="1" ht="35.1" customHeight="1">
      <c r="B35" s="137" t="s">
        <v>204</v>
      </c>
      <c r="C35" s="156" t="s">
        <v>203</v>
      </c>
      <c r="D35" s="122"/>
      <c r="E35" s="159"/>
      <c r="F35" s="165"/>
      <c r="G35" s="122"/>
      <c r="H35" s="159"/>
      <c r="I35" s="157"/>
    </row>
    <row r="36" spans="2:9" s="124" customFormat="1" ht="35.1" customHeight="1">
      <c r="B36" s="137" t="s">
        <v>206</v>
      </c>
      <c r="C36" s="156" t="s">
        <v>294</v>
      </c>
      <c r="D36" s="122"/>
      <c r="E36" s="159"/>
      <c r="F36" s="165"/>
      <c r="G36" s="122"/>
      <c r="H36" s="159"/>
      <c r="I36" s="123"/>
    </row>
    <row r="37" spans="2:9" s="124" customFormat="1" ht="35.1" customHeight="1">
      <c r="B37" s="137" t="s">
        <v>206</v>
      </c>
      <c r="C37" s="156" t="s">
        <v>295</v>
      </c>
      <c r="D37" s="122"/>
      <c r="E37" s="159"/>
      <c r="F37" s="165"/>
      <c r="G37" s="122"/>
      <c r="H37" s="159"/>
      <c r="I37" s="157"/>
    </row>
    <row r="38" spans="2:9" s="124" customFormat="1" ht="35.1" customHeight="1">
      <c r="B38" s="137" t="s">
        <v>206</v>
      </c>
      <c r="C38" s="156" t="s">
        <v>352</v>
      </c>
      <c r="D38" s="122"/>
      <c r="E38" s="166"/>
      <c r="F38" s="165"/>
      <c r="G38" s="122"/>
      <c r="H38" s="166"/>
      <c r="I38" s="123"/>
    </row>
    <row r="39" spans="2:9" s="123" customFormat="1" ht="35.1" customHeight="1">
      <c r="B39" s="137" t="s">
        <v>210</v>
      </c>
      <c r="C39" s="156" t="s">
        <v>306</v>
      </c>
      <c r="D39" s="122"/>
      <c r="E39" s="159"/>
      <c r="F39" s="157"/>
      <c r="G39" s="122"/>
      <c r="H39" s="159"/>
      <c r="I39" s="157"/>
    </row>
    <row r="40" spans="2:9" s="124" customFormat="1" ht="24.95" customHeight="1">
      <c r="B40" s="395" t="s">
        <v>136</v>
      </c>
      <c r="C40" s="396"/>
      <c r="D40" s="396"/>
      <c r="E40" s="397"/>
      <c r="F40" s="165"/>
      <c r="G40" s="176"/>
      <c r="H40" s="176"/>
      <c r="I40" s="157"/>
    </row>
    <row r="41" spans="2:9" s="123" customFormat="1" ht="35.1" customHeight="1">
      <c r="B41" s="167" t="s">
        <v>253</v>
      </c>
      <c r="C41" s="156" t="s">
        <v>353</v>
      </c>
      <c r="D41" s="122"/>
      <c r="E41" s="159"/>
      <c r="F41" s="157"/>
      <c r="G41" s="122"/>
      <c r="H41" s="159"/>
      <c r="I41" s="157"/>
    </row>
    <row r="42" spans="2:9" s="123" customFormat="1" ht="35.1" customHeight="1">
      <c r="B42" s="167" t="s">
        <v>253</v>
      </c>
      <c r="C42" s="156" t="s">
        <v>307</v>
      </c>
      <c r="D42" s="122"/>
      <c r="E42" s="159"/>
      <c r="F42" s="157"/>
      <c r="G42" s="122"/>
      <c r="H42" s="159"/>
      <c r="I42" s="157"/>
    </row>
    <row r="43" spans="2:9" ht="27" customHeight="1">
      <c r="B43" s="167" t="s">
        <v>253</v>
      </c>
      <c r="C43" s="156" t="s">
        <v>354</v>
      </c>
      <c r="D43" s="122"/>
      <c r="E43" s="159"/>
      <c r="F43" s="116"/>
      <c r="G43" s="122"/>
      <c r="H43" s="159"/>
      <c r="I43" s="116"/>
    </row>
    <row r="44" spans="2:9" ht="27" customHeight="1">
      <c r="B44" s="168"/>
      <c r="C44" s="168"/>
      <c r="D44" s="168"/>
      <c r="E44" s="169"/>
      <c r="F44" s="116"/>
      <c r="G44" s="168"/>
      <c r="H44" s="169"/>
      <c r="I44" s="116"/>
    </row>
    <row r="45" spans="2:9" ht="15.75">
      <c r="B45" s="128" t="s">
        <v>296</v>
      </c>
      <c r="C45" s="143"/>
      <c r="D45" s="129" t="s">
        <v>147</v>
      </c>
      <c r="E45" s="170"/>
      <c r="F45" s="116"/>
      <c r="G45" s="129" t="s">
        <v>147</v>
      </c>
      <c r="H45" s="170"/>
      <c r="I45" s="116"/>
    </row>
    <row r="46" spans="2:9" ht="15.75">
      <c r="B46" s="143"/>
      <c r="C46" s="143"/>
      <c r="D46" s="130" t="s">
        <v>297</v>
      </c>
      <c r="E46" s="171" t="s">
        <v>298</v>
      </c>
      <c r="F46" s="116"/>
      <c r="G46" s="130" t="s">
        <v>297</v>
      </c>
      <c r="H46" s="171" t="s">
        <v>298</v>
      </c>
      <c r="I46" s="116"/>
    </row>
    <row r="47" spans="2:9" ht="15.75">
      <c r="B47" s="143"/>
      <c r="C47" s="143"/>
      <c r="D47" s="131" t="s">
        <v>521</v>
      </c>
      <c r="E47" s="171" t="s">
        <v>299</v>
      </c>
      <c r="F47" s="116"/>
      <c r="G47" s="131" t="s">
        <v>521</v>
      </c>
      <c r="H47" s="171" t="s">
        <v>299</v>
      </c>
      <c r="I47" s="116"/>
    </row>
    <row r="48" spans="2:9" ht="15.75">
      <c r="B48" s="143"/>
      <c r="C48" s="143"/>
      <c r="D48" s="132" t="s">
        <v>522</v>
      </c>
      <c r="E48" s="171" t="s">
        <v>300</v>
      </c>
      <c r="F48" s="116"/>
      <c r="G48" s="132" t="s">
        <v>522</v>
      </c>
      <c r="H48" s="171" t="s">
        <v>300</v>
      </c>
      <c r="I48" s="116"/>
    </row>
    <row r="49" spans="2:29" ht="15.75">
      <c r="B49" s="143"/>
      <c r="C49" s="143"/>
      <c r="D49" s="133" t="s">
        <v>523</v>
      </c>
      <c r="E49" s="171" t="s">
        <v>301</v>
      </c>
      <c r="F49" s="116"/>
      <c r="G49" s="133" t="s">
        <v>523</v>
      </c>
      <c r="H49" s="171" t="s">
        <v>301</v>
      </c>
      <c r="I49" s="116"/>
    </row>
    <row r="50" spans="2:29" ht="15.75">
      <c r="B50" s="125"/>
      <c r="C50" s="126"/>
      <c r="D50" s="172" t="s">
        <v>355</v>
      </c>
      <c r="E50" s="171" t="s">
        <v>356</v>
      </c>
      <c r="F50" s="116"/>
      <c r="G50" s="172" t="s">
        <v>355</v>
      </c>
      <c r="H50" s="171" t="s">
        <v>356</v>
      </c>
      <c r="I50" s="116"/>
    </row>
    <row r="51" spans="2:29" ht="15.75">
      <c r="B51" s="127"/>
      <c r="C51" s="134"/>
      <c r="D51" s="122">
        <v>1</v>
      </c>
      <c r="E51" s="171" t="s">
        <v>357</v>
      </c>
      <c r="F51" s="142"/>
      <c r="G51" s="122">
        <v>1</v>
      </c>
      <c r="H51" s="171" t="s">
        <v>357</v>
      </c>
      <c r="I51" s="142"/>
      <c r="J51" s="142"/>
      <c r="K51" s="142"/>
      <c r="L51" s="142"/>
      <c r="M51" s="142"/>
      <c r="N51" s="142"/>
      <c r="O51" s="142"/>
      <c r="P51" s="142"/>
      <c r="Q51" s="142"/>
      <c r="R51" s="142"/>
      <c r="S51" s="142"/>
      <c r="T51" s="142"/>
      <c r="U51" s="142"/>
      <c r="V51" s="142"/>
      <c r="W51" s="142"/>
      <c r="X51" s="142"/>
      <c r="Y51" s="142"/>
      <c r="Z51" s="142"/>
      <c r="AA51" s="142"/>
      <c r="AB51" s="142"/>
      <c r="AC51" s="142"/>
    </row>
    <row r="52" spans="2:29" ht="15.75">
      <c r="D52" s="172" t="s">
        <v>358</v>
      </c>
      <c r="E52" s="171" t="s">
        <v>359</v>
      </c>
      <c r="G52" s="172" t="s">
        <v>358</v>
      </c>
      <c r="H52" s="171" t="s">
        <v>359</v>
      </c>
    </row>
  </sheetData>
  <mergeCells count="16">
    <mergeCell ref="G11:H11"/>
    <mergeCell ref="D12:E12"/>
    <mergeCell ref="G12:H12"/>
    <mergeCell ref="B16:E16"/>
    <mergeCell ref="B1:E1"/>
    <mergeCell ref="C2:E2"/>
    <mergeCell ref="C3:D3"/>
    <mergeCell ref="C4:E4"/>
    <mergeCell ref="C5:E5"/>
    <mergeCell ref="C6:E6"/>
    <mergeCell ref="B20:E20"/>
    <mergeCell ref="B22:E22"/>
    <mergeCell ref="B28:E28"/>
    <mergeCell ref="B40:E40"/>
    <mergeCell ref="C7:E7"/>
    <mergeCell ref="D11:E11"/>
  </mergeCells>
  <conditionalFormatting sqref="D51 D23:D27 D29">
    <cfRule type="containsText" dxfId="70" priority="30" operator="containsText" text="1">
      <formula>NOT(ISERROR(SEARCH("1",D23)))</formula>
    </cfRule>
  </conditionalFormatting>
  <conditionalFormatting sqref="D42">
    <cfRule type="containsText" dxfId="69" priority="26" operator="containsText" text="1">
      <formula>NOT(ISERROR(SEARCH("1",D42)))</formula>
    </cfRule>
  </conditionalFormatting>
  <conditionalFormatting sqref="D30:D33">
    <cfRule type="containsText" dxfId="68" priority="29" operator="containsText" text="1">
      <formula>NOT(ISERROR(SEARCH("1",D30)))</formula>
    </cfRule>
  </conditionalFormatting>
  <conditionalFormatting sqref="D41">
    <cfRule type="containsText" dxfId="67" priority="25" operator="containsText" text="1">
      <formula>NOT(ISERROR(SEARCH("1",D41)))</formula>
    </cfRule>
  </conditionalFormatting>
  <conditionalFormatting sqref="D43">
    <cfRule type="containsText" dxfId="66" priority="28" operator="containsText" text="1">
      <formula>NOT(ISERROR(SEARCH("1",D43)))</formula>
    </cfRule>
  </conditionalFormatting>
  <conditionalFormatting sqref="D39">
    <cfRule type="containsText" dxfId="65" priority="27" operator="containsText" text="1">
      <formula>NOT(ISERROR(SEARCH("1",D39)))</formula>
    </cfRule>
  </conditionalFormatting>
  <conditionalFormatting sqref="C7">
    <cfRule type="cellIs" dxfId="64" priority="21" operator="between">
      <formula>0.8</formula>
      <formula>1</formula>
    </cfRule>
    <cfRule type="cellIs" dxfId="63" priority="22" operator="between">
      <formula>0.51</formula>
      <formula>0.79</formula>
    </cfRule>
    <cfRule type="cellIs" dxfId="62" priority="23" operator="between">
      <formula>0.31</formula>
      <formula>0.5</formula>
    </cfRule>
    <cfRule type="cellIs" dxfId="61" priority="24" operator="between">
      <formula>0</formula>
      <formula>0.3</formula>
    </cfRule>
  </conditionalFormatting>
  <conditionalFormatting sqref="D21">
    <cfRule type="containsText" dxfId="60" priority="20" operator="containsText" text="1">
      <formula>NOT(ISERROR(SEARCH("1",D21)))</formula>
    </cfRule>
  </conditionalFormatting>
  <conditionalFormatting sqref="D34:D38">
    <cfRule type="containsText" dxfId="59" priority="19" operator="containsText" text="1">
      <formula>NOT(ISERROR(SEARCH("1",D34)))</formula>
    </cfRule>
  </conditionalFormatting>
  <conditionalFormatting sqref="D17:D19">
    <cfRule type="containsText" dxfId="58" priority="18" operator="containsText" text="1">
      <formula>NOT(ISERROR(SEARCH("1",D17)))</formula>
    </cfRule>
  </conditionalFormatting>
  <conditionalFormatting sqref="G51 G23:G27 G29">
    <cfRule type="containsText" dxfId="57" priority="17" operator="containsText" text="1">
      <formula>NOT(ISERROR(SEARCH("1",G23)))</formula>
    </cfRule>
  </conditionalFormatting>
  <conditionalFormatting sqref="G42">
    <cfRule type="containsText" dxfId="56" priority="13" operator="containsText" text="1">
      <formula>NOT(ISERROR(SEARCH("1",G42)))</formula>
    </cfRule>
  </conditionalFormatting>
  <conditionalFormatting sqref="G30:G33">
    <cfRule type="containsText" dxfId="55" priority="16" operator="containsText" text="1">
      <formula>NOT(ISERROR(SEARCH("1",G30)))</formula>
    </cfRule>
  </conditionalFormatting>
  <conditionalFormatting sqref="G41">
    <cfRule type="containsText" dxfId="54" priority="12" operator="containsText" text="1">
      <formula>NOT(ISERROR(SEARCH("1",G41)))</formula>
    </cfRule>
  </conditionalFormatting>
  <conditionalFormatting sqref="G43">
    <cfRule type="containsText" dxfId="53" priority="15" operator="containsText" text="1">
      <formula>NOT(ISERROR(SEARCH("1",G43)))</formula>
    </cfRule>
  </conditionalFormatting>
  <conditionalFormatting sqref="G39">
    <cfRule type="containsText" dxfId="52" priority="14" operator="containsText" text="1">
      <formula>NOT(ISERROR(SEARCH("1",G39)))</formula>
    </cfRule>
  </conditionalFormatting>
  <conditionalFormatting sqref="G21">
    <cfRule type="containsText" dxfId="51" priority="11" operator="containsText" text="1">
      <formula>NOT(ISERROR(SEARCH("1",G21)))</formula>
    </cfRule>
  </conditionalFormatting>
  <conditionalFormatting sqref="G34:G38">
    <cfRule type="containsText" dxfId="50" priority="10" operator="containsText" text="1">
      <formula>NOT(ISERROR(SEARCH("1",G34)))</formula>
    </cfRule>
  </conditionalFormatting>
  <conditionalFormatting sqref="G17:G19">
    <cfRule type="containsText" dxfId="49" priority="9" operator="containsText" text="1">
      <formula>NOT(ISERROR(SEARCH("1",G17)))</formula>
    </cfRule>
  </conditionalFormatting>
  <conditionalFormatting sqref="H14">
    <cfRule type="cellIs" dxfId="48" priority="5" operator="between">
      <formula>0.8</formula>
      <formula>1</formula>
    </cfRule>
    <cfRule type="cellIs" dxfId="47" priority="6" operator="between">
      <formula>0.51</formula>
      <formula>0.79</formula>
    </cfRule>
    <cfRule type="cellIs" dxfId="46" priority="7" operator="between">
      <formula>0.31</formula>
      <formula>0.5</formula>
    </cfRule>
    <cfRule type="cellIs" dxfId="45" priority="8" operator="between">
      <formula>0</formula>
      <formula>0.3</formula>
    </cfRule>
  </conditionalFormatting>
  <conditionalFormatting sqref="E14">
    <cfRule type="cellIs" dxfId="44" priority="1" operator="between">
      <formula>0.8</formula>
      <formula>1</formula>
    </cfRule>
    <cfRule type="cellIs" dxfId="43" priority="2" operator="between">
      <formula>0.51</formula>
      <formula>0.79</formula>
    </cfRule>
    <cfRule type="cellIs" dxfId="42" priority="3" operator="between">
      <formula>0.31</formula>
      <formula>0.5</formula>
    </cfRule>
    <cfRule type="cellIs" dxfId="41" priority="4" operator="between">
      <formula>0</formula>
      <formula>0.3</formula>
    </cfRule>
  </conditionalFormatting>
  <hyperlinks>
    <hyperlink ref="D11:E11" r:id="rId63" display="(P-000XXXX)"/>
    <hyperlink ref="G11:H11" r:id="rId64" display="(P-000XXXX)"/>
  </hyperlinks>
  <printOptions horizontalCentered="1" verticalCentered="1"/>
  <pageMargins left="0.7" right="0.7" top="0.75" bottom="0.75" header="0.3" footer="0.3"/>
  <pageSetup paperSize="9" scale="32" orientation="portrait" horizontalDpi="1200" verticalDpi="1200"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2"/>
  <sheetViews>
    <sheetView topLeftCell="A4" zoomScale="70" zoomScaleNormal="70" workbookViewId="0">
      <selection activeCell="B27" sqref="B27"/>
    </sheetView>
  </sheetViews>
  <sheetFormatPr defaultColWidth="9.140625" defaultRowHeight="15"/>
  <cols>
    <col min="1" max="1" customWidth="true" style="4" width="40.28515625" collapsed="true"/>
    <col min="2" max="2" customWidth="true" style="3" width="46.7109375" collapsed="true"/>
    <col min="3" max="3" style="2" width="9.140625" collapsed="true"/>
    <col min="4" max="4" customWidth="true" style="1" width="13.7109375" collapsed="true"/>
    <col min="5" max="7" customWidth="true" style="1" width="28.7109375" collapsed="true"/>
    <col min="8" max="16384" style="1" width="9.140625" collapsed="true"/>
  </cols>
  <sheetData>
    <row r="1" spans="1:7">
      <c r="A1" s="15"/>
      <c r="B1" s="14"/>
    </row>
    <row r="2" spans="1:7">
      <c r="A2" s="15"/>
      <c r="B2" s="14"/>
    </row>
    <row r="3" spans="1:7">
      <c r="A3" s="15"/>
      <c r="B3" s="14"/>
    </row>
    <row r="4" spans="1:7" ht="78.75">
      <c r="A4" s="18" t="s">
        <v>63</v>
      </c>
      <c r="B4" s="18" t="s">
        <v>194</v>
      </c>
      <c r="D4" s="18" t="s">
        <v>211</v>
      </c>
      <c r="E4" s="18" t="s">
        <v>63</v>
      </c>
      <c r="F4" s="18" t="s">
        <v>194</v>
      </c>
      <c r="G4" s="18" t="s">
        <v>212</v>
      </c>
    </row>
    <row r="5" spans="1:7" ht="15.75">
      <c r="A5" s="16"/>
      <c r="B5" s="17" t="s">
        <v>132</v>
      </c>
    </row>
    <row r="6" spans="1:7">
      <c r="A6" s="19" t="s">
        <v>195</v>
      </c>
      <c r="B6" s="20" t="s">
        <v>196</v>
      </c>
      <c r="D6" s="39">
        <v>1</v>
      </c>
      <c r="E6" s="19" t="s">
        <v>195</v>
      </c>
      <c r="F6" s="40" t="s">
        <v>0</v>
      </c>
      <c r="G6" s="41" t="s">
        <v>216</v>
      </c>
    </row>
    <row r="7" spans="1:7">
      <c r="A7" s="19" t="s">
        <v>195</v>
      </c>
      <c r="B7" s="20" t="s">
        <v>4</v>
      </c>
      <c r="D7" s="39">
        <v>4</v>
      </c>
      <c r="E7" s="19" t="s">
        <v>195</v>
      </c>
      <c r="F7" s="40" t="s">
        <v>4</v>
      </c>
      <c r="G7" s="41" t="s">
        <v>216</v>
      </c>
    </row>
    <row r="8" spans="1:7">
      <c r="A8" s="19" t="s">
        <v>195</v>
      </c>
      <c r="B8" s="20" t="s">
        <v>6</v>
      </c>
      <c r="D8" s="39">
        <v>5</v>
      </c>
      <c r="E8" s="19" t="s">
        <v>195</v>
      </c>
      <c r="F8" s="40" t="s">
        <v>6</v>
      </c>
      <c r="G8" s="41" t="s">
        <v>216</v>
      </c>
    </row>
    <row r="9" spans="1:7">
      <c r="A9" s="19" t="s">
        <v>195</v>
      </c>
      <c r="B9" s="40" t="s">
        <v>7</v>
      </c>
      <c r="C9" s="2" t="s">
        <v>276</v>
      </c>
      <c r="D9" s="39">
        <v>6</v>
      </c>
      <c r="E9" s="19" t="s">
        <v>195</v>
      </c>
      <c r="F9" s="40" t="s">
        <v>7</v>
      </c>
      <c r="G9" s="41" t="s">
        <v>216</v>
      </c>
    </row>
    <row r="10" spans="1:7" ht="15.75">
      <c r="A10" s="16"/>
      <c r="B10" s="17" t="s">
        <v>134</v>
      </c>
    </row>
    <row r="11" spans="1:7" ht="30">
      <c r="A11" s="21" t="s">
        <v>197</v>
      </c>
      <c r="B11" s="22" t="s">
        <v>198</v>
      </c>
      <c r="D11" s="44">
        <v>7</v>
      </c>
      <c r="E11" s="21" t="s">
        <v>197</v>
      </c>
      <c r="F11" s="45" t="s">
        <v>8</v>
      </c>
      <c r="G11" s="46" t="s">
        <v>216</v>
      </c>
    </row>
    <row r="12" spans="1:7" ht="30">
      <c r="A12" s="21" t="s">
        <v>197</v>
      </c>
      <c r="B12" s="22" t="s">
        <v>199</v>
      </c>
      <c r="D12" s="44">
        <v>8</v>
      </c>
      <c r="E12" s="21" t="s">
        <v>197</v>
      </c>
      <c r="F12" s="45" t="s">
        <v>9</v>
      </c>
      <c r="G12" s="46" t="s">
        <v>216</v>
      </c>
    </row>
    <row r="13" spans="1:7" ht="30">
      <c r="A13" s="21" t="s">
        <v>197</v>
      </c>
      <c r="B13" s="22" t="s">
        <v>11</v>
      </c>
      <c r="D13" s="44">
        <v>9</v>
      </c>
      <c r="E13" s="21" t="s">
        <v>197</v>
      </c>
      <c r="F13" s="45" t="s">
        <v>11</v>
      </c>
      <c r="G13" s="46" t="s">
        <v>216</v>
      </c>
    </row>
    <row r="14" spans="1:7" ht="30">
      <c r="A14" s="21" t="s">
        <v>197</v>
      </c>
      <c r="B14" s="22" t="s">
        <v>200</v>
      </c>
      <c r="D14" s="44">
        <v>11</v>
      </c>
      <c r="E14" s="21" t="s">
        <v>197</v>
      </c>
      <c r="F14" s="45" t="s">
        <v>224</v>
      </c>
      <c r="G14" s="46" t="s">
        <v>216</v>
      </c>
    </row>
    <row r="15" spans="1:7">
      <c r="A15" s="21" t="s">
        <v>197</v>
      </c>
      <c r="B15" s="22" t="s">
        <v>201</v>
      </c>
      <c r="C15" s="2" t="s">
        <v>276</v>
      </c>
    </row>
    <row r="16" spans="1:7" ht="15.75">
      <c r="A16" s="16"/>
      <c r="B16" s="17" t="s">
        <v>135</v>
      </c>
    </row>
    <row r="17" spans="1:7">
      <c r="A17" s="23" t="s">
        <v>202</v>
      </c>
      <c r="B17" s="24" t="s">
        <v>27</v>
      </c>
      <c r="D17" s="48">
        <v>17</v>
      </c>
      <c r="E17" s="23" t="s">
        <v>202</v>
      </c>
      <c r="F17" s="24" t="s">
        <v>27</v>
      </c>
      <c r="G17" s="49" t="s">
        <v>216</v>
      </c>
    </row>
    <row r="18" spans="1:7">
      <c r="A18" s="23" t="s">
        <v>202</v>
      </c>
      <c r="B18" s="24" t="s">
        <v>29</v>
      </c>
      <c r="C18" s="2" t="s">
        <v>277</v>
      </c>
    </row>
    <row r="19" spans="1:7">
      <c r="A19" s="23" t="s">
        <v>202</v>
      </c>
      <c r="B19" s="24" t="s">
        <v>203</v>
      </c>
      <c r="C19" s="2" t="s">
        <v>277</v>
      </c>
    </row>
    <row r="20" spans="1:7">
      <c r="A20" s="25" t="s">
        <v>204</v>
      </c>
      <c r="B20" s="26" t="s">
        <v>46</v>
      </c>
      <c r="D20" s="51">
        <v>26</v>
      </c>
      <c r="E20" s="25" t="s">
        <v>204</v>
      </c>
      <c r="F20" s="26" t="s">
        <v>46</v>
      </c>
      <c r="G20" s="52" t="s">
        <v>216</v>
      </c>
    </row>
    <row r="21" spans="1:7">
      <c r="A21" s="25" t="s">
        <v>204</v>
      </c>
      <c r="B21" s="26" t="s">
        <v>48</v>
      </c>
      <c r="D21" s="51">
        <v>28</v>
      </c>
      <c r="E21" s="25" t="s">
        <v>204</v>
      </c>
      <c r="F21" s="26" t="s">
        <v>37</v>
      </c>
      <c r="G21" s="52" t="s">
        <v>216</v>
      </c>
    </row>
    <row r="22" spans="1:7">
      <c r="A22" s="25" t="s">
        <v>204</v>
      </c>
      <c r="B22" s="27" t="s">
        <v>37</v>
      </c>
      <c r="D22" s="51">
        <v>29</v>
      </c>
      <c r="E22" s="25" t="s">
        <v>204</v>
      </c>
      <c r="F22" s="26" t="s">
        <v>39</v>
      </c>
      <c r="G22" s="52" t="s">
        <v>216</v>
      </c>
    </row>
    <row r="23" spans="1:7">
      <c r="A23" s="25" t="s">
        <v>204</v>
      </c>
      <c r="B23" s="27" t="s">
        <v>205</v>
      </c>
    </row>
    <row r="24" spans="1:7">
      <c r="A24" s="28" t="s">
        <v>206</v>
      </c>
      <c r="B24" s="29" t="s">
        <v>52</v>
      </c>
      <c r="D24" s="54">
        <v>35</v>
      </c>
      <c r="E24" s="28" t="s">
        <v>206</v>
      </c>
      <c r="F24" s="29" t="s">
        <v>52</v>
      </c>
      <c r="G24" s="55" t="s">
        <v>216</v>
      </c>
    </row>
    <row r="25" spans="1:7" ht="30">
      <c r="A25" s="28" t="s">
        <v>206</v>
      </c>
      <c r="B25" s="29" t="s">
        <v>54</v>
      </c>
      <c r="D25" s="54">
        <v>37</v>
      </c>
      <c r="E25" s="28" t="s">
        <v>206</v>
      </c>
      <c r="F25" s="29" t="s">
        <v>54</v>
      </c>
      <c r="G25" s="55" t="s">
        <v>216</v>
      </c>
    </row>
    <row r="26" spans="1:7" ht="15.75">
      <c r="A26" s="16"/>
      <c r="B26" s="17" t="s">
        <v>133</v>
      </c>
    </row>
    <row r="27" spans="1:7">
      <c r="A27" s="32" t="s">
        <v>57</v>
      </c>
      <c r="B27" s="33" t="s">
        <v>207</v>
      </c>
      <c r="D27" s="65">
        <v>42</v>
      </c>
      <c r="E27" s="32" t="s">
        <v>57</v>
      </c>
      <c r="F27" s="33" t="s">
        <v>58</v>
      </c>
      <c r="G27" s="66" t="s">
        <v>216</v>
      </c>
    </row>
    <row r="28" spans="1:7">
      <c r="A28" s="32" t="s">
        <v>57</v>
      </c>
      <c r="B28" s="34" t="s">
        <v>208</v>
      </c>
      <c r="D28" s="65">
        <v>43</v>
      </c>
      <c r="E28" s="32" t="s">
        <v>57</v>
      </c>
      <c r="F28" s="33" t="s">
        <v>60</v>
      </c>
      <c r="G28" s="66" t="s">
        <v>216</v>
      </c>
    </row>
    <row r="29" spans="1:7">
      <c r="A29" s="32" t="s">
        <v>57</v>
      </c>
      <c r="B29" s="34" t="s">
        <v>62</v>
      </c>
      <c r="D29" s="65">
        <v>44</v>
      </c>
      <c r="E29" s="32" t="s">
        <v>57</v>
      </c>
      <c r="F29" s="33" t="s">
        <v>62</v>
      </c>
      <c r="G29" s="66" t="s">
        <v>216</v>
      </c>
    </row>
    <row r="30" spans="1:7">
      <c r="A30" s="32" t="s">
        <v>57</v>
      </c>
      <c r="B30" s="34" t="s">
        <v>209</v>
      </c>
      <c r="D30" s="65">
        <v>45</v>
      </c>
      <c r="E30" s="32" t="s">
        <v>57</v>
      </c>
      <c r="F30" s="33" t="s">
        <v>23</v>
      </c>
      <c r="G30" s="66" t="s">
        <v>216</v>
      </c>
    </row>
    <row r="31" spans="1:7" ht="15.75">
      <c r="A31" s="16"/>
      <c r="B31" s="17" t="s">
        <v>136</v>
      </c>
    </row>
    <row r="32" spans="1:7">
      <c r="A32" s="30" t="s">
        <v>210</v>
      </c>
      <c r="B32" s="31" t="s">
        <v>55</v>
      </c>
      <c r="D32" s="57">
        <v>38</v>
      </c>
      <c r="E32" s="30" t="s">
        <v>210</v>
      </c>
      <c r="F32" s="31" t="s">
        <v>55</v>
      </c>
      <c r="G32" s="58" t="s">
        <v>216</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A1:G93"/>
  <sheetViews>
    <sheetView workbookViewId="0">
      <selection activeCell="C20" sqref="C20"/>
    </sheetView>
  </sheetViews>
  <sheetFormatPr defaultColWidth="9.140625" defaultRowHeight="15"/>
  <cols>
    <col min="1" max="1" customWidth="true" style="12" width="5.42578125" collapsed="true"/>
    <col min="2" max="2" customWidth="true" style="68" width="35.5703125" collapsed="true"/>
    <col min="3" max="3" customWidth="true" style="11" width="30.7109375" collapsed="true"/>
    <col min="4" max="4" customWidth="true" style="69" width="14.42578125" collapsed="true"/>
    <col min="5" max="5" customWidth="true" style="43" width="47.7109375" collapsed="true"/>
    <col min="6" max="16384" style="43" width="9.140625" collapsed="true"/>
  </cols>
  <sheetData>
    <row r="1" spans="1:7" s="12" customFormat="1" ht="45.75" customHeight="1">
      <c r="A1" s="18" t="s">
        <v>211</v>
      </c>
      <c r="B1" s="18" t="s">
        <v>63</v>
      </c>
      <c r="C1" s="18" t="s">
        <v>194</v>
      </c>
      <c r="D1" s="18" t="s">
        <v>212</v>
      </c>
      <c r="E1" s="18" t="s">
        <v>65</v>
      </c>
      <c r="F1" s="35" t="s">
        <v>213</v>
      </c>
      <c r="G1" s="35" t="s">
        <v>214</v>
      </c>
    </row>
    <row r="2" spans="1:7" s="12" customFormat="1" ht="15" hidden="1" customHeight="1">
      <c r="A2" s="13"/>
      <c r="B2" s="36"/>
      <c r="C2" s="37" t="s">
        <v>215</v>
      </c>
      <c r="D2" s="37"/>
      <c r="E2" s="38"/>
    </row>
    <row r="3" spans="1:7" ht="15" customHeight="1">
      <c r="A3" s="39">
        <v>1</v>
      </c>
      <c r="B3" s="19" t="s">
        <v>195</v>
      </c>
      <c r="C3" s="40" t="s">
        <v>0</v>
      </c>
      <c r="D3" s="41" t="s">
        <v>216</v>
      </c>
      <c r="E3" s="42" t="s">
        <v>1</v>
      </c>
      <c r="F3" s="43">
        <v>1</v>
      </c>
    </row>
    <row r="4" spans="1:7" ht="30" hidden="1">
      <c r="A4" s="39"/>
      <c r="B4" s="19"/>
      <c r="C4" s="40"/>
      <c r="D4" s="41"/>
      <c r="E4" s="42" t="s">
        <v>217</v>
      </c>
    </row>
    <row r="5" spans="1:7" ht="30" hidden="1">
      <c r="A5" s="39"/>
      <c r="B5" s="19"/>
      <c r="C5" s="40"/>
      <c r="D5" s="41"/>
      <c r="E5" s="42" t="s">
        <v>218</v>
      </c>
    </row>
    <row r="6" spans="1:7" ht="15" hidden="1" customHeight="1">
      <c r="A6" s="39">
        <v>2</v>
      </c>
      <c r="B6" s="19" t="s">
        <v>195</v>
      </c>
      <c r="C6" s="40" t="s">
        <v>2</v>
      </c>
      <c r="D6" s="41" t="s">
        <v>129</v>
      </c>
      <c r="E6" s="42" t="s">
        <v>68</v>
      </c>
      <c r="G6" s="43">
        <v>1</v>
      </c>
    </row>
    <row r="7" spans="1:7" ht="15" hidden="1" customHeight="1">
      <c r="A7" s="39">
        <v>3</v>
      </c>
      <c r="B7" s="19" t="s">
        <v>195</v>
      </c>
      <c r="C7" s="40" t="s">
        <v>3</v>
      </c>
      <c r="D7" s="41" t="s">
        <v>129</v>
      </c>
      <c r="E7" s="42" t="s">
        <v>84</v>
      </c>
    </row>
    <row r="8" spans="1:7" ht="15" customHeight="1">
      <c r="A8" s="39">
        <v>4</v>
      </c>
      <c r="B8" s="19" t="s">
        <v>195</v>
      </c>
      <c r="C8" s="40" t="s">
        <v>4</v>
      </c>
      <c r="D8" s="41" t="s">
        <v>216</v>
      </c>
      <c r="E8" s="42" t="s">
        <v>5</v>
      </c>
      <c r="F8" s="43">
        <v>1</v>
      </c>
    </row>
    <row r="9" spans="1:7" ht="15" customHeight="1">
      <c r="A9" s="39">
        <v>5</v>
      </c>
      <c r="B9" s="19" t="s">
        <v>195</v>
      </c>
      <c r="C9" s="40" t="s">
        <v>6</v>
      </c>
      <c r="D9" s="41" t="s">
        <v>216</v>
      </c>
      <c r="E9" s="42" t="s">
        <v>66</v>
      </c>
      <c r="F9" s="43">
        <v>1</v>
      </c>
    </row>
    <row r="10" spans="1:7" ht="15" customHeight="1">
      <c r="A10" s="39">
        <v>6</v>
      </c>
      <c r="B10" s="19" t="s">
        <v>195</v>
      </c>
      <c r="C10" s="40" t="s">
        <v>7</v>
      </c>
      <c r="D10" s="41" t="s">
        <v>216</v>
      </c>
      <c r="E10" s="42" t="s">
        <v>67</v>
      </c>
      <c r="F10" s="43">
        <v>1</v>
      </c>
    </row>
    <row r="11" spans="1:7" ht="15" customHeight="1">
      <c r="A11" s="44">
        <v>7</v>
      </c>
      <c r="B11" s="21" t="s">
        <v>197</v>
      </c>
      <c r="C11" s="45" t="s">
        <v>8</v>
      </c>
      <c r="D11" s="46" t="s">
        <v>216</v>
      </c>
      <c r="E11" s="47" t="s">
        <v>69</v>
      </c>
      <c r="F11" s="43">
        <v>1</v>
      </c>
    </row>
    <row r="12" spans="1:7" ht="45" hidden="1">
      <c r="A12" s="39"/>
      <c r="B12" s="19"/>
      <c r="C12" s="40"/>
      <c r="D12" s="41"/>
      <c r="E12" s="42" t="s">
        <v>219</v>
      </c>
    </row>
    <row r="13" spans="1:7" ht="45" hidden="1">
      <c r="A13" s="39"/>
      <c r="B13" s="19"/>
      <c r="C13" s="40"/>
      <c r="D13" s="41"/>
      <c r="E13" s="42" t="s">
        <v>220</v>
      </c>
    </row>
    <row r="14" spans="1:7" ht="45" hidden="1">
      <c r="A14" s="39"/>
      <c r="B14" s="19"/>
      <c r="C14" s="40"/>
      <c r="D14" s="41"/>
      <c r="E14" s="42" t="s">
        <v>221</v>
      </c>
    </row>
    <row r="15" spans="1:7" ht="15" customHeight="1">
      <c r="A15" s="44">
        <v>8</v>
      </c>
      <c r="B15" s="21" t="s">
        <v>197</v>
      </c>
      <c r="C15" s="45" t="s">
        <v>9</v>
      </c>
      <c r="D15" s="46" t="s">
        <v>216</v>
      </c>
      <c r="E15" s="47" t="s">
        <v>10</v>
      </c>
      <c r="G15" s="43">
        <v>1</v>
      </c>
    </row>
    <row r="16" spans="1:7" ht="15" customHeight="1">
      <c r="A16" s="44">
        <v>9</v>
      </c>
      <c r="B16" s="21" t="s">
        <v>197</v>
      </c>
      <c r="C16" s="45" t="s">
        <v>11</v>
      </c>
      <c r="D16" s="46" t="s">
        <v>216</v>
      </c>
      <c r="E16" s="47" t="s">
        <v>12</v>
      </c>
      <c r="F16" s="43">
        <v>1</v>
      </c>
    </row>
    <row r="17" spans="1:7" hidden="1">
      <c r="A17" s="44"/>
      <c r="B17" s="21"/>
      <c r="C17" s="45"/>
      <c r="D17" s="46"/>
      <c r="E17" s="47" t="s">
        <v>222</v>
      </c>
    </row>
    <row r="18" spans="1:7" hidden="1">
      <c r="A18" s="44"/>
      <c r="B18" s="21"/>
      <c r="C18" s="45"/>
      <c r="D18" s="46"/>
      <c r="E18" s="47" t="s">
        <v>223</v>
      </c>
    </row>
    <row r="19" spans="1:7" ht="15" hidden="1" customHeight="1">
      <c r="A19" s="44">
        <v>10</v>
      </c>
      <c r="B19" s="21" t="s">
        <v>197</v>
      </c>
      <c r="C19" s="45" t="s">
        <v>13</v>
      </c>
      <c r="D19" s="46" t="s">
        <v>129</v>
      </c>
      <c r="E19" s="47" t="s">
        <v>84</v>
      </c>
      <c r="F19" s="43">
        <v>1</v>
      </c>
    </row>
    <row r="20" spans="1:7" ht="15" customHeight="1">
      <c r="A20" s="44">
        <v>11</v>
      </c>
      <c r="B20" s="21" t="s">
        <v>197</v>
      </c>
      <c r="C20" s="45" t="s">
        <v>224</v>
      </c>
      <c r="D20" s="46" t="s">
        <v>216</v>
      </c>
      <c r="E20" s="47" t="s">
        <v>15</v>
      </c>
      <c r="F20" s="43">
        <v>1</v>
      </c>
      <c r="G20" s="43">
        <v>1</v>
      </c>
    </row>
    <row r="21" spans="1:7" ht="30" hidden="1">
      <c r="A21" s="44"/>
      <c r="B21" s="21"/>
      <c r="C21" s="45"/>
      <c r="D21" s="46"/>
      <c r="E21" s="47" t="s">
        <v>225</v>
      </c>
    </row>
    <row r="22" spans="1:7" hidden="1">
      <c r="A22" s="44"/>
      <c r="B22" s="21"/>
      <c r="C22" s="45"/>
      <c r="D22" s="46"/>
      <c r="E22" s="47" t="s">
        <v>226</v>
      </c>
    </row>
    <row r="23" spans="1:7" ht="15" hidden="1" customHeight="1">
      <c r="A23" s="44">
        <v>12</v>
      </c>
      <c r="B23" s="21" t="s">
        <v>197</v>
      </c>
      <c r="C23" s="45" t="s">
        <v>16</v>
      </c>
      <c r="D23" s="46" t="s">
        <v>129</v>
      </c>
      <c r="E23" s="47" t="s">
        <v>70</v>
      </c>
      <c r="G23" s="43">
        <v>1</v>
      </c>
    </row>
    <row r="24" spans="1:7" ht="15" hidden="1" customHeight="1">
      <c r="A24" s="44">
        <v>13</v>
      </c>
      <c r="B24" s="21" t="s">
        <v>197</v>
      </c>
      <c r="C24" s="45" t="s">
        <v>17</v>
      </c>
      <c r="D24" s="46" t="s">
        <v>129</v>
      </c>
      <c r="E24" s="47" t="s">
        <v>18</v>
      </c>
      <c r="F24" s="43">
        <v>1</v>
      </c>
      <c r="G24" s="43">
        <v>1</v>
      </c>
    </row>
    <row r="25" spans="1:7" ht="30" hidden="1">
      <c r="A25" s="44"/>
      <c r="B25" s="21"/>
      <c r="C25" s="45"/>
      <c r="D25" s="46"/>
      <c r="E25" s="47" t="s">
        <v>227</v>
      </c>
    </row>
    <row r="26" spans="1:7" ht="15" hidden="1" customHeight="1">
      <c r="A26" s="44">
        <v>14</v>
      </c>
      <c r="B26" s="21" t="s">
        <v>197</v>
      </c>
      <c r="C26" s="45" t="s">
        <v>19</v>
      </c>
      <c r="D26" s="46" t="s">
        <v>129</v>
      </c>
      <c r="E26" s="47" t="s">
        <v>20</v>
      </c>
      <c r="F26" s="43">
        <v>1</v>
      </c>
    </row>
    <row r="27" spans="1:7" ht="15" hidden="1" customHeight="1">
      <c r="A27" s="44">
        <v>15</v>
      </c>
      <c r="B27" s="21" t="s">
        <v>197</v>
      </c>
      <c r="C27" s="45" t="s">
        <v>21</v>
      </c>
      <c r="D27" s="46" t="s">
        <v>129</v>
      </c>
      <c r="E27" s="47" t="s">
        <v>22</v>
      </c>
      <c r="F27" s="43">
        <v>1</v>
      </c>
      <c r="G27" s="43">
        <v>1</v>
      </c>
    </row>
    <row r="28" spans="1:7" ht="30" hidden="1">
      <c r="A28" s="44"/>
      <c r="B28" s="21"/>
      <c r="C28" s="45"/>
      <c r="D28" s="46"/>
      <c r="E28" s="47" t="s">
        <v>228</v>
      </c>
    </row>
    <row r="29" spans="1:7" ht="15" hidden="1" customHeight="1">
      <c r="A29" s="13"/>
      <c r="B29" s="36"/>
      <c r="C29" s="37" t="s">
        <v>135</v>
      </c>
      <c r="D29" s="37"/>
      <c r="E29" s="38"/>
    </row>
    <row r="30" spans="1:7" ht="15" hidden="1" customHeight="1">
      <c r="A30" s="48">
        <v>16</v>
      </c>
      <c r="B30" s="23" t="s">
        <v>202</v>
      </c>
      <c r="C30" s="24" t="s">
        <v>25</v>
      </c>
      <c r="D30" s="49" t="s">
        <v>129</v>
      </c>
      <c r="E30" s="50" t="s">
        <v>26</v>
      </c>
      <c r="G30" s="43">
        <v>1</v>
      </c>
    </row>
    <row r="31" spans="1:7" ht="15" customHeight="1">
      <c r="A31" s="48">
        <v>17</v>
      </c>
      <c r="B31" s="23" t="s">
        <v>202</v>
      </c>
      <c r="C31" s="24" t="s">
        <v>27</v>
      </c>
      <c r="D31" s="49" t="s">
        <v>216</v>
      </c>
      <c r="E31" s="50" t="s">
        <v>28</v>
      </c>
      <c r="G31" s="43">
        <v>1</v>
      </c>
    </row>
    <row r="32" spans="1:7" ht="30" hidden="1">
      <c r="A32" s="48"/>
      <c r="B32" s="23"/>
      <c r="C32" s="24"/>
      <c r="D32" s="49"/>
      <c r="E32" s="50" t="s">
        <v>229</v>
      </c>
    </row>
    <row r="33" spans="1:7" ht="30" hidden="1">
      <c r="A33" s="48"/>
      <c r="B33" s="23"/>
      <c r="C33" s="24"/>
      <c r="D33" s="49"/>
      <c r="E33" s="50" t="s">
        <v>230</v>
      </c>
    </row>
    <row r="34" spans="1:7" ht="30" hidden="1">
      <c r="A34" s="48"/>
      <c r="B34" s="23"/>
      <c r="C34" s="24"/>
      <c r="D34" s="49"/>
      <c r="E34" s="50" t="s">
        <v>231</v>
      </c>
    </row>
    <row r="35" spans="1:7" ht="15" hidden="1" customHeight="1">
      <c r="A35" s="48">
        <v>18</v>
      </c>
      <c r="B35" s="23" t="s">
        <v>202</v>
      </c>
      <c r="C35" s="24" t="s">
        <v>29</v>
      </c>
      <c r="D35" s="49" t="s">
        <v>129</v>
      </c>
      <c r="E35" s="50" t="s">
        <v>30</v>
      </c>
      <c r="G35" s="43">
        <v>1</v>
      </c>
    </row>
    <row r="36" spans="1:7" ht="30" hidden="1">
      <c r="A36" s="48"/>
      <c r="B36" s="23"/>
      <c r="C36" s="24"/>
      <c r="D36" s="49"/>
      <c r="E36" s="50" t="s">
        <v>232</v>
      </c>
    </row>
    <row r="37" spans="1:7" ht="15" hidden="1" customHeight="1">
      <c r="A37" s="48">
        <v>19</v>
      </c>
      <c r="B37" s="23" t="s">
        <v>202</v>
      </c>
      <c r="C37" s="24" t="s">
        <v>31</v>
      </c>
      <c r="D37" s="49" t="s">
        <v>129</v>
      </c>
      <c r="E37" s="50" t="s">
        <v>71</v>
      </c>
      <c r="G37" s="43">
        <v>1</v>
      </c>
    </row>
    <row r="38" spans="1:7" ht="30" hidden="1">
      <c r="A38" s="48"/>
      <c r="B38" s="23"/>
      <c r="C38" s="24"/>
      <c r="D38" s="49"/>
      <c r="E38" s="50" t="s">
        <v>233</v>
      </c>
    </row>
    <row r="39" spans="1:7" ht="15" hidden="1" customHeight="1">
      <c r="A39" s="48">
        <v>20</v>
      </c>
      <c r="B39" s="23" t="s">
        <v>202</v>
      </c>
      <c r="C39" s="24" t="s">
        <v>32</v>
      </c>
      <c r="D39" s="49" t="s">
        <v>129</v>
      </c>
      <c r="E39" s="50" t="s">
        <v>72</v>
      </c>
      <c r="G39" s="43">
        <v>1</v>
      </c>
    </row>
    <row r="40" spans="1:7" hidden="1">
      <c r="A40" s="48"/>
      <c r="B40" s="23"/>
      <c r="C40" s="24"/>
      <c r="D40" s="49"/>
      <c r="E40" s="50" t="s">
        <v>234</v>
      </c>
    </row>
    <row r="41" spans="1:7" ht="30" hidden="1">
      <c r="A41" s="48"/>
      <c r="B41" s="23"/>
      <c r="C41" s="24"/>
      <c r="D41" s="49"/>
      <c r="E41" s="50" t="s">
        <v>235</v>
      </c>
    </row>
    <row r="42" spans="1:7" ht="30" hidden="1">
      <c r="A42" s="48"/>
      <c r="B42" s="23"/>
      <c r="C42" s="24"/>
      <c r="D42" s="49"/>
      <c r="E42" s="50" t="s">
        <v>236</v>
      </c>
    </row>
    <row r="43" spans="1:7" hidden="1">
      <c r="A43" s="48"/>
      <c r="B43" s="23"/>
      <c r="C43" s="24"/>
      <c r="D43" s="49"/>
      <c r="E43" s="50" t="s">
        <v>237</v>
      </c>
    </row>
    <row r="44" spans="1:7" ht="15" hidden="1" customHeight="1">
      <c r="A44" s="48">
        <v>21</v>
      </c>
      <c r="B44" s="23" t="s">
        <v>202</v>
      </c>
      <c r="C44" s="24" t="s">
        <v>33</v>
      </c>
      <c r="D44" s="49" t="s">
        <v>129</v>
      </c>
      <c r="E44" s="50" t="s">
        <v>34</v>
      </c>
      <c r="G44" s="43">
        <v>1</v>
      </c>
    </row>
    <row r="45" spans="1:7" ht="30" hidden="1">
      <c r="A45" s="48"/>
      <c r="B45" s="23"/>
      <c r="C45" s="24"/>
      <c r="D45" s="49"/>
      <c r="E45" s="50" t="s">
        <v>238</v>
      </c>
    </row>
    <row r="46" spans="1:7" ht="30" hidden="1">
      <c r="A46" s="48"/>
      <c r="B46" s="23"/>
      <c r="C46" s="24"/>
      <c r="D46" s="49"/>
      <c r="E46" s="50" t="s">
        <v>239</v>
      </c>
    </row>
    <row r="47" spans="1:7" ht="30" hidden="1">
      <c r="A47" s="48"/>
      <c r="B47" s="23"/>
      <c r="C47" s="24"/>
      <c r="D47" s="49"/>
      <c r="E47" s="50" t="s">
        <v>240</v>
      </c>
    </row>
    <row r="48" spans="1:7" ht="30" hidden="1">
      <c r="A48" s="48"/>
      <c r="B48" s="23"/>
      <c r="C48" s="24"/>
      <c r="D48" s="49"/>
      <c r="E48" s="50" t="s">
        <v>241</v>
      </c>
    </row>
    <row r="49" spans="1:7" hidden="1">
      <c r="A49" s="48"/>
      <c r="B49" s="23"/>
      <c r="C49" s="24"/>
      <c r="D49" s="49"/>
      <c r="E49" s="50" t="s">
        <v>242</v>
      </c>
    </row>
    <row r="50" spans="1:7" ht="15" hidden="1" customHeight="1">
      <c r="A50" s="48">
        <v>22</v>
      </c>
      <c r="B50" s="23" t="s">
        <v>202</v>
      </c>
      <c r="C50" s="24" t="s">
        <v>35</v>
      </c>
      <c r="D50" s="49" t="s">
        <v>129</v>
      </c>
      <c r="E50" s="50" t="s">
        <v>36</v>
      </c>
      <c r="G50" s="43">
        <v>1</v>
      </c>
    </row>
    <row r="51" spans="1:7" hidden="1">
      <c r="A51" s="48"/>
      <c r="B51" s="23"/>
      <c r="C51" s="24"/>
      <c r="D51" s="49"/>
      <c r="E51" s="50" t="s">
        <v>243</v>
      </c>
    </row>
    <row r="52" spans="1:7" ht="15" hidden="1" customHeight="1">
      <c r="A52" s="48">
        <v>23</v>
      </c>
      <c r="B52" s="23" t="s">
        <v>202</v>
      </c>
      <c r="C52" s="24" t="s">
        <v>40</v>
      </c>
      <c r="D52" s="49" t="s">
        <v>129</v>
      </c>
      <c r="E52" s="50" t="s">
        <v>41</v>
      </c>
      <c r="G52" s="43">
        <v>1</v>
      </c>
    </row>
    <row r="53" spans="1:7" ht="15" hidden="1" customHeight="1">
      <c r="A53" s="48">
        <v>24</v>
      </c>
      <c r="B53" s="23" t="s">
        <v>202</v>
      </c>
      <c r="C53" s="24" t="s">
        <v>42</v>
      </c>
      <c r="D53" s="49" t="s">
        <v>129</v>
      </c>
      <c r="E53" s="50" t="s">
        <v>43</v>
      </c>
      <c r="G53" s="43">
        <v>1</v>
      </c>
    </row>
    <row r="54" spans="1:7" ht="15" hidden="1" customHeight="1">
      <c r="A54" s="48">
        <v>25</v>
      </c>
      <c r="B54" s="23" t="s">
        <v>202</v>
      </c>
      <c r="C54" s="24" t="s">
        <v>44</v>
      </c>
      <c r="D54" s="49" t="s">
        <v>129</v>
      </c>
      <c r="E54" s="50" t="s">
        <v>45</v>
      </c>
      <c r="G54" s="43">
        <v>1</v>
      </c>
    </row>
    <row r="55" spans="1:7" hidden="1">
      <c r="A55" s="48"/>
      <c r="B55" s="23"/>
      <c r="C55" s="24"/>
      <c r="D55" s="49"/>
      <c r="E55" s="50" t="s">
        <v>244</v>
      </c>
    </row>
    <row r="56" spans="1:7" hidden="1">
      <c r="A56" s="48"/>
      <c r="B56" s="23"/>
      <c r="C56" s="24"/>
      <c r="D56" s="49"/>
      <c r="E56" s="50" t="s">
        <v>245</v>
      </c>
    </row>
    <row r="57" spans="1:7" ht="30" hidden="1">
      <c r="A57" s="48"/>
      <c r="B57" s="23"/>
      <c r="C57" s="24"/>
      <c r="D57" s="49"/>
      <c r="E57" s="50" t="s">
        <v>246</v>
      </c>
    </row>
    <row r="58" spans="1:7" ht="30" hidden="1">
      <c r="A58" s="48"/>
      <c r="B58" s="23"/>
      <c r="C58" s="24"/>
      <c r="D58" s="49"/>
      <c r="E58" s="50" t="s">
        <v>247</v>
      </c>
    </row>
    <row r="59" spans="1:7" hidden="1">
      <c r="A59" s="48"/>
      <c r="B59" s="23"/>
      <c r="C59" s="24"/>
      <c r="D59" s="49"/>
      <c r="E59" s="50" t="s">
        <v>248</v>
      </c>
    </row>
    <row r="60" spans="1:7" hidden="1">
      <c r="A60" s="48"/>
      <c r="B60" s="23"/>
      <c r="C60" s="24"/>
      <c r="D60" s="49"/>
      <c r="E60" s="50" t="s">
        <v>249</v>
      </c>
    </row>
    <row r="61" spans="1:7" ht="30" hidden="1">
      <c r="A61" s="48"/>
      <c r="B61" s="23"/>
      <c r="C61" s="24"/>
      <c r="D61" s="49"/>
      <c r="E61" s="50" t="s">
        <v>250</v>
      </c>
    </row>
    <row r="62" spans="1:7" ht="15" customHeight="1">
      <c r="A62" s="51">
        <v>26</v>
      </c>
      <c r="B62" s="25" t="s">
        <v>204</v>
      </c>
      <c r="C62" s="26" t="s">
        <v>46</v>
      </c>
      <c r="D62" s="52" t="s">
        <v>216</v>
      </c>
      <c r="E62" s="53" t="s">
        <v>47</v>
      </c>
      <c r="G62" s="43">
        <v>1</v>
      </c>
    </row>
    <row r="63" spans="1:7" ht="15" hidden="1" customHeight="1">
      <c r="A63" s="51">
        <v>27</v>
      </c>
      <c r="B63" s="25" t="s">
        <v>204</v>
      </c>
      <c r="C63" s="26" t="s">
        <v>48</v>
      </c>
      <c r="D63" s="52" t="s">
        <v>129</v>
      </c>
      <c r="E63" s="53" t="s">
        <v>49</v>
      </c>
      <c r="G63" s="43">
        <v>1</v>
      </c>
    </row>
    <row r="64" spans="1:7" ht="15" customHeight="1">
      <c r="A64" s="51">
        <v>28</v>
      </c>
      <c r="B64" s="25" t="s">
        <v>204</v>
      </c>
      <c r="C64" s="26" t="s">
        <v>37</v>
      </c>
      <c r="D64" s="52" t="s">
        <v>216</v>
      </c>
      <c r="E64" s="53" t="s">
        <v>38</v>
      </c>
      <c r="G64" s="43">
        <v>1</v>
      </c>
    </row>
    <row r="65" spans="1:7" ht="15" customHeight="1">
      <c r="A65" s="51">
        <v>29</v>
      </c>
      <c r="B65" s="25" t="s">
        <v>204</v>
      </c>
      <c r="C65" s="26" t="s">
        <v>39</v>
      </c>
      <c r="D65" s="52" t="s">
        <v>216</v>
      </c>
      <c r="E65" s="53" t="s">
        <v>73</v>
      </c>
      <c r="G65" s="43">
        <v>1</v>
      </c>
    </row>
    <row r="66" spans="1:7" hidden="1">
      <c r="A66" s="51"/>
      <c r="B66" s="25"/>
      <c r="C66" s="26"/>
      <c r="D66" s="52"/>
      <c r="E66" s="53" t="s">
        <v>251</v>
      </c>
    </row>
    <row r="67" spans="1:7" hidden="1">
      <c r="A67" s="51"/>
      <c r="B67" s="25"/>
      <c r="C67" s="26"/>
      <c r="D67" s="52"/>
      <c r="E67" s="53" t="s">
        <v>252</v>
      </c>
    </row>
    <row r="68" spans="1:7" ht="15" hidden="1" customHeight="1">
      <c r="A68" s="51">
        <v>30</v>
      </c>
      <c r="B68" s="25" t="s">
        <v>204</v>
      </c>
      <c r="C68" s="26" t="s">
        <v>50</v>
      </c>
      <c r="D68" s="52" t="s">
        <v>129</v>
      </c>
      <c r="E68" s="53" t="s">
        <v>51</v>
      </c>
      <c r="G68" s="43">
        <v>1</v>
      </c>
    </row>
    <row r="69" spans="1:7" ht="15" hidden="1" customHeight="1">
      <c r="A69" s="51">
        <v>31</v>
      </c>
      <c r="B69" s="25" t="s">
        <v>204</v>
      </c>
      <c r="C69" s="26" t="s">
        <v>77</v>
      </c>
      <c r="D69" s="52" t="s">
        <v>129</v>
      </c>
      <c r="E69" s="53" t="s">
        <v>84</v>
      </c>
    </row>
    <row r="70" spans="1:7" ht="15" hidden="1" customHeight="1">
      <c r="A70" s="51">
        <v>32</v>
      </c>
      <c r="B70" s="25" t="s">
        <v>204</v>
      </c>
      <c r="C70" s="26" t="s">
        <v>74</v>
      </c>
      <c r="D70" s="52" t="s">
        <v>129</v>
      </c>
      <c r="E70" s="53" t="s">
        <v>84</v>
      </c>
    </row>
    <row r="71" spans="1:7" ht="15" hidden="1" customHeight="1">
      <c r="A71" s="51">
        <v>33</v>
      </c>
      <c r="B71" s="25" t="s">
        <v>204</v>
      </c>
      <c r="C71" s="26" t="s">
        <v>75</v>
      </c>
      <c r="D71" s="52" t="s">
        <v>129</v>
      </c>
      <c r="E71" s="53" t="s">
        <v>84</v>
      </c>
    </row>
    <row r="72" spans="1:7" ht="15" hidden="1" customHeight="1">
      <c r="A72" s="51">
        <v>34</v>
      </c>
      <c r="B72" s="25" t="s">
        <v>204</v>
      </c>
      <c r="C72" s="26" t="s">
        <v>76</v>
      </c>
      <c r="D72" s="52" t="s">
        <v>129</v>
      </c>
      <c r="E72" s="53" t="s">
        <v>84</v>
      </c>
    </row>
    <row r="73" spans="1:7" ht="15" customHeight="1">
      <c r="A73" s="54">
        <v>35</v>
      </c>
      <c r="B73" s="28" t="s">
        <v>206</v>
      </c>
      <c r="C73" s="29" t="s">
        <v>52</v>
      </c>
      <c r="D73" s="55" t="s">
        <v>216</v>
      </c>
      <c r="E73" s="56" t="s">
        <v>53</v>
      </c>
      <c r="G73" s="43">
        <v>1</v>
      </c>
    </row>
    <row r="74" spans="1:7" ht="15" hidden="1" customHeight="1">
      <c r="A74" s="54">
        <v>36</v>
      </c>
      <c r="B74" s="28" t="s">
        <v>206</v>
      </c>
      <c r="C74" s="29" t="s">
        <v>79</v>
      </c>
      <c r="D74" s="55" t="s">
        <v>129</v>
      </c>
      <c r="E74" s="56" t="s">
        <v>84</v>
      </c>
    </row>
    <row r="75" spans="1:7" ht="15" customHeight="1">
      <c r="A75" s="54">
        <v>37</v>
      </c>
      <c r="B75" s="28" t="s">
        <v>206</v>
      </c>
      <c r="C75" s="29" t="s">
        <v>54</v>
      </c>
      <c r="D75" s="55" t="s">
        <v>216</v>
      </c>
      <c r="E75" s="56" t="s">
        <v>78</v>
      </c>
      <c r="F75" s="43">
        <v>1</v>
      </c>
      <c r="G75" s="43">
        <v>1</v>
      </c>
    </row>
    <row r="76" spans="1:7" ht="15" hidden="1" customHeight="1">
      <c r="A76" s="13"/>
      <c r="B76" s="36"/>
      <c r="C76" s="37" t="s">
        <v>136</v>
      </c>
      <c r="D76" s="37"/>
      <c r="E76" s="38"/>
    </row>
    <row r="77" spans="1:7" ht="15" customHeight="1">
      <c r="A77" s="57">
        <v>38</v>
      </c>
      <c r="B77" s="30" t="s">
        <v>210</v>
      </c>
      <c r="C77" s="31" t="s">
        <v>55</v>
      </c>
      <c r="D77" s="58" t="s">
        <v>216</v>
      </c>
      <c r="E77" s="59" t="s">
        <v>80</v>
      </c>
      <c r="F77" s="43">
        <v>1</v>
      </c>
    </row>
    <row r="78" spans="1:7" ht="15" hidden="1" customHeight="1">
      <c r="A78" s="60">
        <v>39</v>
      </c>
      <c r="B78" s="61" t="s">
        <v>253</v>
      </c>
      <c r="C78" s="62" t="s">
        <v>56</v>
      </c>
      <c r="D78" s="63" t="s">
        <v>129</v>
      </c>
      <c r="E78" s="64" t="s">
        <v>81</v>
      </c>
      <c r="F78" s="43">
        <v>1</v>
      </c>
    </row>
    <row r="79" spans="1:7" ht="15" hidden="1" customHeight="1">
      <c r="A79" s="60">
        <v>40</v>
      </c>
      <c r="B79" s="61" t="s">
        <v>253</v>
      </c>
      <c r="C79" s="62" t="s">
        <v>83</v>
      </c>
      <c r="D79" s="63" t="s">
        <v>129</v>
      </c>
      <c r="E79" s="64" t="s">
        <v>84</v>
      </c>
      <c r="G79" s="43">
        <v>1</v>
      </c>
    </row>
    <row r="80" spans="1:7" ht="15" hidden="1" customHeight="1">
      <c r="A80" s="60">
        <v>41</v>
      </c>
      <c r="B80" s="61" t="s">
        <v>253</v>
      </c>
      <c r="C80" s="62" t="s">
        <v>254</v>
      </c>
      <c r="D80" s="63" t="s">
        <v>129</v>
      </c>
      <c r="E80" s="64" t="s">
        <v>255</v>
      </c>
      <c r="F80" s="43">
        <v>1</v>
      </c>
      <c r="G80" s="43">
        <v>1</v>
      </c>
    </row>
    <row r="81" spans="1:7" ht="15" hidden="1" customHeight="1">
      <c r="A81" s="13"/>
      <c r="B81" s="36"/>
      <c r="C81" s="37" t="s">
        <v>133</v>
      </c>
      <c r="D81" s="37"/>
      <c r="E81" s="38"/>
    </row>
    <row r="82" spans="1:7" ht="15" customHeight="1">
      <c r="A82" s="65">
        <v>42</v>
      </c>
      <c r="B82" s="32" t="s">
        <v>57</v>
      </c>
      <c r="C82" s="33" t="s">
        <v>58</v>
      </c>
      <c r="D82" s="66" t="s">
        <v>216</v>
      </c>
      <c r="E82" s="67" t="s">
        <v>59</v>
      </c>
      <c r="F82" s="43">
        <v>1</v>
      </c>
    </row>
    <row r="83" spans="1:7" ht="30" hidden="1">
      <c r="A83" s="65"/>
      <c r="B83" s="32"/>
      <c r="C83" s="33"/>
      <c r="D83" s="66"/>
      <c r="E83" s="67" t="s">
        <v>256</v>
      </c>
    </row>
    <row r="84" spans="1:7" hidden="1">
      <c r="A84" s="65"/>
      <c r="B84" s="32"/>
      <c r="C84" s="33"/>
      <c r="D84" s="66"/>
      <c r="E84" s="67" t="s">
        <v>257</v>
      </c>
    </row>
    <row r="85" spans="1:7" hidden="1">
      <c r="A85" s="65"/>
      <c r="B85" s="32"/>
      <c r="C85" s="33"/>
      <c r="D85" s="66"/>
      <c r="E85" s="67" t="s">
        <v>258</v>
      </c>
    </row>
    <row r="86" spans="1:7" ht="15" customHeight="1">
      <c r="A86" s="65">
        <v>43</v>
      </c>
      <c r="B86" s="32" t="s">
        <v>57</v>
      </c>
      <c r="C86" s="33" t="s">
        <v>60</v>
      </c>
      <c r="D86" s="66" t="s">
        <v>216</v>
      </c>
      <c r="E86" s="67" t="s">
        <v>61</v>
      </c>
      <c r="F86" s="43">
        <v>1</v>
      </c>
    </row>
    <row r="87" spans="1:7" ht="30" hidden="1">
      <c r="A87" s="65"/>
      <c r="B87" s="32"/>
      <c r="C87" s="33"/>
      <c r="D87" s="66"/>
      <c r="E87" s="67" t="s">
        <v>259</v>
      </c>
    </row>
    <row r="88" spans="1:7" ht="30" hidden="1">
      <c r="A88" s="65"/>
      <c r="B88" s="32"/>
      <c r="C88" s="33"/>
      <c r="D88" s="66"/>
      <c r="E88" s="67" t="s">
        <v>260</v>
      </c>
    </row>
    <row r="89" spans="1:7" ht="45" hidden="1">
      <c r="A89" s="65"/>
      <c r="B89" s="32"/>
      <c r="C89" s="33"/>
      <c r="D89" s="66"/>
      <c r="E89" s="67" t="s">
        <v>261</v>
      </c>
    </row>
    <row r="90" spans="1:7" ht="15" customHeight="1">
      <c r="A90" s="65">
        <v>44</v>
      </c>
      <c r="B90" s="32" t="s">
        <v>57</v>
      </c>
      <c r="C90" s="33" t="s">
        <v>62</v>
      </c>
      <c r="D90" s="66" t="s">
        <v>216</v>
      </c>
      <c r="E90" s="67" t="s">
        <v>82</v>
      </c>
      <c r="G90" s="43">
        <v>1</v>
      </c>
    </row>
    <row r="91" spans="1:7" ht="30" hidden="1">
      <c r="A91" s="65"/>
      <c r="B91" s="32"/>
      <c r="C91" s="33"/>
      <c r="D91" s="66"/>
      <c r="E91" s="67" t="s">
        <v>262</v>
      </c>
    </row>
    <row r="92" spans="1:7" ht="15" customHeight="1">
      <c r="A92" s="65">
        <v>45</v>
      </c>
      <c r="B92" s="32" t="s">
        <v>57</v>
      </c>
      <c r="C92" s="33" t="s">
        <v>23</v>
      </c>
      <c r="D92" s="66" t="s">
        <v>216</v>
      </c>
      <c r="E92" s="67" t="s">
        <v>24</v>
      </c>
      <c r="F92" s="43">
        <v>1</v>
      </c>
    </row>
    <row r="93" spans="1:7" hidden="1">
      <c r="F93" s="43">
        <f>SUM(F2:F92)</f>
        <v>18</v>
      </c>
      <c r="G93" s="43">
        <f>SUM(G2:G92)</f>
        <v>26</v>
      </c>
    </row>
  </sheetData>
  <autoFilter ref="A1:G93">
    <filterColumn colId="3">
      <filters>
        <filter val="Yes"/>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84"/>
  <sheetViews>
    <sheetView topLeftCell="A37" zoomScale="60" zoomScaleNormal="60" workbookViewId="0">
      <selection activeCell="K48" sqref="K48"/>
    </sheetView>
  </sheetViews>
  <sheetFormatPr defaultColWidth="9.140625" defaultRowHeight="15"/>
  <cols>
    <col min="1" max="1" customWidth="true" style="71" width="21.28515625" collapsed="true"/>
    <col min="2" max="2" customWidth="true" style="71" width="49.28515625" collapsed="true"/>
    <col min="3" max="3" style="71" width="9.140625" collapsed="true"/>
    <col min="4" max="4" customWidth="true" style="71" width="20.7109375" collapsed="true"/>
    <col min="5" max="5" style="71" width="9.140625" collapsed="true"/>
    <col min="6" max="6" customWidth="true" style="71" width="10.28515625" collapsed="true"/>
    <col min="7" max="7" style="71" width="9.140625" collapsed="true"/>
    <col min="8" max="8" customWidth="true" style="71" width="51.7109375" collapsed="true"/>
    <col min="9" max="9" customWidth="true" style="71" width="29.85546875" collapsed="true"/>
    <col min="10" max="11" customWidth="true" style="71" width="52.7109375" collapsed="true"/>
    <col min="12" max="12" customWidth="true" style="71" width="51.28515625" collapsed="true"/>
    <col min="13" max="13" customWidth="true" style="71" width="53.28515625" collapsed="true"/>
    <col min="14" max="16384" style="71" width="9.140625" collapsed="true"/>
  </cols>
  <sheetData>
    <row r="1" spans="1:13" ht="23.25">
      <c r="A1" s="413" t="s">
        <v>269</v>
      </c>
      <c r="B1" s="413"/>
      <c r="C1" s="413"/>
      <c r="D1" s="413"/>
      <c r="E1" s="413"/>
      <c r="F1" s="413"/>
      <c r="G1" s="413"/>
      <c r="H1" s="414"/>
      <c r="I1" s="413"/>
    </row>
    <row r="2" spans="1:13" ht="25.5">
      <c r="A2" s="72" t="s">
        <v>95</v>
      </c>
      <c r="B2" s="76" t="str">
        <f>'Project Review #1'!$C$3</f>
        <v>[INSERT CUSTOMER NAME HERE]</v>
      </c>
      <c r="C2" s="73"/>
      <c r="E2" s="74" t="s">
        <v>148</v>
      </c>
      <c r="F2" s="75" t="s">
        <v>149</v>
      </c>
      <c r="G2" s="75" t="s">
        <v>150</v>
      </c>
      <c r="H2" s="415" t="s">
        <v>131</v>
      </c>
      <c r="I2" s="415"/>
    </row>
    <row r="3" spans="1:13" ht="55.5" customHeight="1">
      <c r="A3" s="72" t="s">
        <v>96</v>
      </c>
      <c r="B3" s="76" t="str">
        <f>'Project Review #1'!C4</f>
        <v>[INSERT PROJECT NAME HERE]</v>
      </c>
      <c r="C3" s="73"/>
      <c r="D3" s="77" t="s">
        <v>132</v>
      </c>
      <c r="E3" s="10">
        <f>F19</f>
        <v>0</v>
      </c>
      <c r="F3" s="10">
        <f>G19</f>
        <v>115</v>
      </c>
      <c r="G3" s="78">
        <f t="shared" ref="G3:G6" si="0">IF(F3=0, "N/A", E3/F3)</f>
        <v>0</v>
      </c>
      <c r="H3" s="416"/>
      <c r="I3" s="417"/>
    </row>
    <row r="4" spans="1:13" ht="31.5" customHeight="1">
      <c r="A4" s="72" t="s">
        <v>167</v>
      </c>
      <c r="B4" s="76" t="str">
        <f>'Project Review #1'!C5</f>
        <v>[INSERT PM NAME HERE]</v>
      </c>
      <c r="C4" s="112"/>
      <c r="D4" s="77" t="s">
        <v>134</v>
      </c>
      <c r="E4" s="10">
        <f>F33</f>
        <v>0</v>
      </c>
      <c r="F4" s="10">
        <f>G33</f>
        <v>225</v>
      </c>
      <c r="G4" s="78">
        <f t="shared" si="0"/>
        <v>0</v>
      </c>
      <c r="H4" s="418"/>
      <c r="I4" s="419"/>
    </row>
    <row r="5" spans="1:13" ht="18.75">
      <c r="A5" s="72" t="s">
        <v>145</v>
      </c>
      <c r="B5" s="114" t="str">
        <f>'Project Review #1'!C6</f>
        <v>[INSERT DATE HERE]</v>
      </c>
      <c r="C5" s="112"/>
      <c r="D5" s="77" t="s">
        <v>135</v>
      </c>
      <c r="E5" s="10">
        <f>F57</f>
        <v>0</v>
      </c>
      <c r="F5" s="10">
        <f>G57</f>
        <v>355</v>
      </c>
      <c r="G5" s="78">
        <f t="shared" si="0"/>
        <v>0</v>
      </c>
      <c r="H5" s="418"/>
      <c r="I5" s="419"/>
    </row>
    <row r="6" spans="1:13" ht="31.5">
      <c r="A6" s="72" t="s">
        <v>97</v>
      </c>
      <c r="B6" s="76" t="s">
        <v>268</v>
      </c>
      <c r="C6" s="112"/>
      <c r="D6" s="77" t="s">
        <v>133</v>
      </c>
      <c r="E6" s="10">
        <f>F65</f>
        <v>0</v>
      </c>
      <c r="F6" s="10">
        <f>G65</f>
        <v>135</v>
      </c>
      <c r="G6" s="78">
        <f t="shared" si="0"/>
        <v>0</v>
      </c>
      <c r="H6" s="418"/>
      <c r="I6" s="419"/>
    </row>
    <row r="7" spans="1:13" ht="19.5" thickBot="1">
      <c r="A7" s="79"/>
      <c r="B7" s="79"/>
      <c r="C7" s="73"/>
      <c r="D7" s="80" t="s">
        <v>136</v>
      </c>
      <c r="E7" s="81">
        <f>F72</f>
        <v>0</v>
      </c>
      <c r="F7" s="81">
        <f>G72</f>
        <v>65</v>
      </c>
      <c r="G7" s="78">
        <f>IF(F7=0, "N/A", E7/F7)</f>
        <v>0</v>
      </c>
      <c r="H7" s="418"/>
      <c r="I7" s="419"/>
    </row>
    <row r="8" spans="1:13" ht="19.5" thickBot="1">
      <c r="A8" s="79"/>
      <c r="B8" s="79"/>
      <c r="C8" s="73"/>
      <c r="D8" s="82" t="s">
        <v>142</v>
      </c>
      <c r="E8" s="83">
        <f>SUM(E3:E7)</f>
        <v>0</v>
      </c>
      <c r="F8" s="83">
        <f>SUM(F3:F7)</f>
        <v>895</v>
      </c>
      <c r="G8" s="78">
        <f>IF(F8=0, "N/A", E8/F8)</f>
        <v>0</v>
      </c>
      <c r="H8" s="420"/>
      <c r="I8" s="421"/>
    </row>
    <row r="9" spans="1:13">
      <c r="A9" s="5"/>
      <c r="B9" s="6"/>
      <c r="C9" s="6"/>
      <c r="D9" s="7"/>
      <c r="E9" s="7"/>
      <c r="F9" s="7"/>
      <c r="G9" s="7"/>
      <c r="H9" s="84"/>
      <c r="I9" s="85"/>
      <c r="J9" s="8"/>
      <c r="K9" s="8"/>
    </row>
    <row r="10" spans="1:13" ht="94.5">
      <c r="A10" s="9" t="s">
        <v>63</v>
      </c>
      <c r="B10" s="77" t="s">
        <v>85</v>
      </c>
      <c r="C10" s="9" t="s">
        <v>144</v>
      </c>
      <c r="D10" s="9" t="s">
        <v>278</v>
      </c>
      <c r="E10" s="9" t="s">
        <v>146</v>
      </c>
      <c r="F10" s="9" t="s">
        <v>151</v>
      </c>
      <c r="G10" s="9" t="s">
        <v>143</v>
      </c>
      <c r="H10" s="77" t="s">
        <v>86</v>
      </c>
      <c r="I10" s="77" t="s">
        <v>153</v>
      </c>
      <c r="J10" s="86" t="s">
        <v>64</v>
      </c>
      <c r="K10" s="86" t="s">
        <v>65</v>
      </c>
    </row>
    <row r="11" spans="1:13" ht="18.75">
      <c r="A11" s="9"/>
      <c r="B11" s="77" t="s">
        <v>132</v>
      </c>
      <c r="C11" s="77"/>
      <c r="D11" s="77"/>
      <c r="E11" s="77"/>
      <c r="F11" s="77"/>
      <c r="G11" s="87"/>
      <c r="H11" s="77"/>
      <c r="I11" s="77"/>
      <c r="J11" s="86"/>
      <c r="K11" s="86"/>
    </row>
    <row r="12" spans="1:13" ht="115.5" customHeight="1">
      <c r="A12" s="88" t="s">
        <v>87</v>
      </c>
      <c r="B12" s="70" t="s">
        <v>270</v>
      </c>
      <c r="C12" s="88" t="s">
        <v>216</v>
      </c>
      <c r="D12" s="89"/>
      <c r="E12" s="88">
        <f t="shared" ref="E12:E18" si="1">IF(C12="yes",5,(IF(C12="No",2,(IF(C12="N/A",0,"Null")))))</f>
        <v>5</v>
      </c>
      <c r="F12" s="88">
        <f>D12*E12</f>
        <v>0</v>
      </c>
      <c r="G12" s="88">
        <f>E12*5</f>
        <v>25</v>
      </c>
      <c r="H12" s="90"/>
      <c r="I12" s="70"/>
      <c r="J12" s="91"/>
      <c r="K12" s="91"/>
      <c r="L12" s="70"/>
      <c r="M12" s="70"/>
    </row>
    <row r="13" spans="1:13" ht="78.75" customHeight="1">
      <c r="A13" s="88" t="s">
        <v>87</v>
      </c>
      <c r="B13" s="70" t="s">
        <v>130</v>
      </c>
      <c r="C13" s="88" t="s">
        <v>129</v>
      </c>
      <c r="D13" s="89"/>
      <c r="E13" s="88">
        <f t="shared" si="1"/>
        <v>2</v>
      </c>
      <c r="F13" s="88">
        <f t="shared" ref="F13:F18" si="2">D13*E13</f>
        <v>0</v>
      </c>
      <c r="G13" s="88">
        <f t="shared" ref="G13:G18" si="3">E13*5</f>
        <v>10</v>
      </c>
      <c r="H13" s="90"/>
      <c r="I13" s="70" t="s">
        <v>272</v>
      </c>
      <c r="J13" s="91" t="s">
        <v>4</v>
      </c>
      <c r="K13" s="91" t="s">
        <v>5</v>
      </c>
      <c r="L13" s="70"/>
      <c r="M13" s="70"/>
    </row>
    <row r="14" spans="1:13" ht="31.5">
      <c r="A14" s="88" t="s">
        <v>87</v>
      </c>
      <c r="B14" s="70" t="s">
        <v>122</v>
      </c>
      <c r="C14" s="88" t="s">
        <v>118</v>
      </c>
      <c r="D14" s="89"/>
      <c r="E14" s="88">
        <f t="shared" si="1"/>
        <v>5</v>
      </c>
      <c r="F14" s="88">
        <f t="shared" si="2"/>
        <v>0</v>
      </c>
      <c r="G14" s="88">
        <f t="shared" si="3"/>
        <v>25</v>
      </c>
      <c r="H14" s="90"/>
      <c r="I14" s="70"/>
      <c r="J14" s="91" t="s">
        <v>6</v>
      </c>
      <c r="K14" s="91" t="s">
        <v>66</v>
      </c>
      <c r="L14" s="70"/>
      <c r="M14" s="70"/>
    </row>
    <row r="15" spans="1:13" ht="31.5">
      <c r="A15" s="88" t="s">
        <v>87</v>
      </c>
      <c r="B15" s="70" t="s">
        <v>123</v>
      </c>
      <c r="C15" s="88" t="s">
        <v>129</v>
      </c>
      <c r="D15" s="89"/>
      <c r="E15" s="88">
        <f t="shared" si="1"/>
        <v>2</v>
      </c>
      <c r="F15" s="88">
        <f t="shared" si="2"/>
        <v>0</v>
      </c>
      <c r="G15" s="88">
        <f t="shared" si="3"/>
        <v>10</v>
      </c>
      <c r="H15" s="90"/>
      <c r="I15" s="92"/>
      <c r="J15" s="91" t="s">
        <v>7</v>
      </c>
      <c r="K15" s="91" t="s">
        <v>67</v>
      </c>
      <c r="L15" s="70"/>
      <c r="M15" s="70"/>
    </row>
    <row r="16" spans="1:13" ht="15.75">
      <c r="A16" s="88" t="s">
        <v>87</v>
      </c>
      <c r="B16" s="70" t="s">
        <v>94</v>
      </c>
      <c r="C16" s="88" t="s">
        <v>216</v>
      </c>
      <c r="D16" s="89"/>
      <c r="E16" s="88">
        <f t="shared" si="1"/>
        <v>5</v>
      </c>
      <c r="F16" s="88">
        <f t="shared" si="2"/>
        <v>0</v>
      </c>
      <c r="G16" s="88">
        <f t="shared" si="3"/>
        <v>25</v>
      </c>
      <c r="H16" s="90"/>
      <c r="I16" s="92"/>
      <c r="J16" s="91" t="s">
        <v>7</v>
      </c>
      <c r="K16" s="91" t="s">
        <v>67</v>
      </c>
      <c r="L16" s="70"/>
      <c r="M16" s="70"/>
    </row>
    <row r="17" spans="1:13" ht="15.75">
      <c r="A17" s="88" t="s">
        <v>87</v>
      </c>
      <c r="B17" s="70" t="s">
        <v>183</v>
      </c>
      <c r="C17" s="88" t="s">
        <v>129</v>
      </c>
      <c r="D17" s="89"/>
      <c r="E17" s="88">
        <f t="shared" si="1"/>
        <v>2</v>
      </c>
      <c r="F17" s="88">
        <f t="shared" si="2"/>
        <v>0</v>
      </c>
      <c r="G17" s="88">
        <f t="shared" si="3"/>
        <v>10</v>
      </c>
      <c r="H17" s="90"/>
      <c r="I17" s="92"/>
      <c r="J17" s="91" t="s">
        <v>7</v>
      </c>
      <c r="K17" s="91" t="s">
        <v>67</v>
      </c>
      <c r="L17" s="70"/>
      <c r="M17" s="70"/>
    </row>
    <row r="18" spans="1:13" ht="31.5">
      <c r="A18" s="88" t="s">
        <v>87</v>
      </c>
      <c r="B18" s="70" t="s">
        <v>184</v>
      </c>
      <c r="C18" s="88" t="s">
        <v>129</v>
      </c>
      <c r="D18" s="89"/>
      <c r="E18" s="88">
        <f t="shared" si="1"/>
        <v>2</v>
      </c>
      <c r="F18" s="88">
        <f t="shared" si="2"/>
        <v>0</v>
      </c>
      <c r="G18" s="88">
        <f t="shared" si="3"/>
        <v>10</v>
      </c>
      <c r="H18" s="90"/>
      <c r="I18" s="92"/>
      <c r="J18" s="91" t="s">
        <v>7</v>
      </c>
      <c r="K18" s="91" t="s">
        <v>67</v>
      </c>
      <c r="L18" s="70"/>
      <c r="M18" s="70"/>
    </row>
    <row r="19" spans="1:13" ht="15.75">
      <c r="A19" s="93"/>
      <c r="B19" s="94" t="s">
        <v>142</v>
      </c>
      <c r="C19" s="93"/>
      <c r="D19" s="93"/>
      <c r="E19" s="93"/>
      <c r="F19" s="93">
        <f>SUM(F12:F18)</f>
        <v>0</v>
      </c>
      <c r="G19" s="93">
        <f>SUM(G12:G18)</f>
        <v>115</v>
      </c>
      <c r="H19" s="95"/>
      <c r="I19" s="96"/>
      <c r="J19" s="97"/>
      <c r="K19" s="97"/>
      <c r="L19" s="70"/>
      <c r="M19" s="70"/>
    </row>
    <row r="20" spans="1:13" ht="94.5">
      <c r="A20" s="9"/>
      <c r="B20" s="77" t="s">
        <v>134</v>
      </c>
      <c r="C20" s="9" t="s">
        <v>144</v>
      </c>
      <c r="D20" s="9" t="s">
        <v>278</v>
      </c>
      <c r="E20" s="9" t="s">
        <v>146</v>
      </c>
      <c r="F20" s="9" t="s">
        <v>151</v>
      </c>
      <c r="G20" s="9" t="s">
        <v>143</v>
      </c>
      <c r="H20" s="77"/>
      <c r="I20" s="77"/>
      <c r="J20" s="86"/>
      <c r="K20" s="86"/>
      <c r="L20" s="70"/>
      <c r="M20" s="70"/>
    </row>
    <row r="21" spans="1:13" ht="31.5">
      <c r="A21" s="88" t="s">
        <v>88</v>
      </c>
      <c r="B21" s="70" t="s">
        <v>124</v>
      </c>
      <c r="C21" s="88" t="s">
        <v>118</v>
      </c>
      <c r="D21" s="89"/>
      <c r="E21" s="88">
        <f t="shared" ref="E21:E32" si="4">IF(C21="yes",5,(IF(C21="No",2,(IF(C21="N/A",0,"Null")))))</f>
        <v>5</v>
      </c>
      <c r="F21" s="88">
        <f>D21*E21</f>
        <v>0</v>
      </c>
      <c r="G21" s="88">
        <f t="shared" ref="G21:G32" si="5">E21*5</f>
        <v>25</v>
      </c>
      <c r="H21" s="90"/>
      <c r="I21" s="70"/>
      <c r="J21" s="91" t="s">
        <v>8</v>
      </c>
      <c r="K21" s="91" t="s">
        <v>69</v>
      </c>
    </row>
    <row r="22" spans="1:13" ht="15.75">
      <c r="A22" s="88" t="s">
        <v>88</v>
      </c>
      <c r="B22" s="70" t="s">
        <v>157</v>
      </c>
      <c r="C22" s="88" t="s">
        <v>118</v>
      </c>
      <c r="D22" s="89"/>
      <c r="E22" s="88">
        <f t="shared" si="4"/>
        <v>5</v>
      </c>
      <c r="F22" s="88">
        <f t="shared" ref="F22:F32" si="6">D22*E22</f>
        <v>0</v>
      </c>
      <c r="G22" s="88">
        <f t="shared" si="5"/>
        <v>25</v>
      </c>
      <c r="H22" s="90"/>
      <c r="I22" s="70"/>
      <c r="J22" s="91"/>
      <c r="K22" s="91"/>
    </row>
    <row r="23" spans="1:13" ht="31.5">
      <c r="A23" s="88" t="s">
        <v>88</v>
      </c>
      <c r="B23" s="70" t="s">
        <v>185</v>
      </c>
      <c r="C23" s="88" t="s">
        <v>118</v>
      </c>
      <c r="D23" s="89"/>
      <c r="E23" s="88">
        <f t="shared" si="4"/>
        <v>5</v>
      </c>
      <c r="F23" s="88">
        <f t="shared" si="6"/>
        <v>0</v>
      </c>
      <c r="G23" s="88">
        <f t="shared" si="5"/>
        <v>25</v>
      </c>
      <c r="H23" s="90"/>
      <c r="I23" s="70"/>
      <c r="J23" s="91" t="s">
        <v>9</v>
      </c>
      <c r="K23" s="91" t="s">
        <v>10</v>
      </c>
    </row>
    <row r="24" spans="1:13" ht="43.5" customHeight="1">
      <c r="A24" s="88" t="s">
        <v>88</v>
      </c>
      <c r="B24" s="70" t="s">
        <v>126</v>
      </c>
      <c r="C24" s="88" t="s">
        <v>118</v>
      </c>
      <c r="D24" s="89"/>
      <c r="E24" s="88">
        <f t="shared" si="4"/>
        <v>5</v>
      </c>
      <c r="F24" s="88">
        <f t="shared" si="6"/>
        <v>0</v>
      </c>
      <c r="G24" s="88">
        <f t="shared" si="5"/>
        <v>25</v>
      </c>
      <c r="H24" s="90"/>
      <c r="I24" s="70"/>
      <c r="J24" s="91" t="s">
        <v>11</v>
      </c>
      <c r="K24" s="91" t="s">
        <v>12</v>
      </c>
    </row>
    <row r="25" spans="1:13" ht="31.5">
      <c r="A25" s="88" t="s">
        <v>88</v>
      </c>
      <c r="B25" s="70" t="s">
        <v>127</v>
      </c>
      <c r="C25" s="88" t="s">
        <v>118</v>
      </c>
      <c r="D25" s="89"/>
      <c r="E25" s="88">
        <f t="shared" si="4"/>
        <v>5</v>
      </c>
      <c r="F25" s="88">
        <f t="shared" si="6"/>
        <v>0</v>
      </c>
      <c r="G25" s="88">
        <f t="shared" si="5"/>
        <v>25</v>
      </c>
      <c r="H25" s="90"/>
      <c r="I25" s="70"/>
      <c r="J25" s="91"/>
      <c r="K25" s="91"/>
    </row>
    <row r="26" spans="1:13" ht="31.5">
      <c r="A26" s="88" t="s">
        <v>88</v>
      </c>
      <c r="B26" s="70" t="s">
        <v>128</v>
      </c>
      <c r="C26" s="88" t="s">
        <v>129</v>
      </c>
      <c r="D26" s="89"/>
      <c r="E26" s="88">
        <f t="shared" si="4"/>
        <v>2</v>
      </c>
      <c r="F26" s="88">
        <f t="shared" si="6"/>
        <v>0</v>
      </c>
      <c r="G26" s="88">
        <f t="shared" si="5"/>
        <v>10</v>
      </c>
      <c r="H26" s="90"/>
      <c r="I26" s="92"/>
      <c r="J26" s="91" t="s">
        <v>13</v>
      </c>
      <c r="K26" s="91" t="s">
        <v>84</v>
      </c>
    </row>
    <row r="27" spans="1:13" ht="87.75" customHeight="1">
      <c r="A27" s="88" t="s">
        <v>88</v>
      </c>
      <c r="B27" s="70" t="s">
        <v>186</v>
      </c>
      <c r="C27" s="88" t="s">
        <v>118</v>
      </c>
      <c r="D27" s="89"/>
      <c r="E27" s="88">
        <f t="shared" si="4"/>
        <v>5</v>
      </c>
      <c r="F27" s="88">
        <f t="shared" si="6"/>
        <v>0</v>
      </c>
      <c r="G27" s="88">
        <f t="shared" si="5"/>
        <v>25</v>
      </c>
      <c r="H27" s="90"/>
      <c r="I27" s="70"/>
      <c r="J27" s="91" t="s">
        <v>14</v>
      </c>
      <c r="K27" s="91" t="s">
        <v>15</v>
      </c>
    </row>
    <row r="28" spans="1:13" ht="15.75">
      <c r="A28" s="88" t="s">
        <v>88</v>
      </c>
      <c r="B28" s="70" t="s">
        <v>187</v>
      </c>
      <c r="C28" s="88" t="s">
        <v>129</v>
      </c>
      <c r="D28" s="89"/>
      <c r="E28" s="88">
        <f t="shared" si="4"/>
        <v>2</v>
      </c>
      <c r="F28" s="88">
        <f t="shared" si="6"/>
        <v>0</v>
      </c>
      <c r="G28" s="88">
        <f t="shared" si="5"/>
        <v>10</v>
      </c>
      <c r="H28" s="90"/>
      <c r="I28" s="92"/>
      <c r="J28" s="91" t="s">
        <v>16</v>
      </c>
      <c r="K28" s="91" t="s">
        <v>70</v>
      </c>
    </row>
    <row r="29" spans="1:13" ht="47.25">
      <c r="A29" s="88" t="s">
        <v>88</v>
      </c>
      <c r="B29" s="70" t="s">
        <v>188</v>
      </c>
      <c r="C29" s="88" t="s">
        <v>129</v>
      </c>
      <c r="D29" s="89"/>
      <c r="E29" s="88">
        <f t="shared" si="4"/>
        <v>2</v>
      </c>
      <c r="F29" s="88">
        <f t="shared" si="6"/>
        <v>0</v>
      </c>
      <c r="G29" s="88">
        <f t="shared" si="5"/>
        <v>10</v>
      </c>
      <c r="H29" s="90"/>
      <c r="I29" s="92"/>
      <c r="J29" s="91" t="s">
        <v>17</v>
      </c>
      <c r="K29" s="91" t="s">
        <v>18</v>
      </c>
    </row>
    <row r="30" spans="1:13" ht="69.75" customHeight="1">
      <c r="A30" s="88" t="s">
        <v>88</v>
      </c>
      <c r="B30" s="70" t="s">
        <v>98</v>
      </c>
      <c r="C30" s="88" t="s">
        <v>129</v>
      </c>
      <c r="D30" s="89"/>
      <c r="E30" s="88">
        <f t="shared" si="4"/>
        <v>2</v>
      </c>
      <c r="F30" s="88">
        <f t="shared" si="6"/>
        <v>0</v>
      </c>
      <c r="G30" s="88">
        <f t="shared" si="5"/>
        <v>10</v>
      </c>
      <c r="H30" s="90"/>
      <c r="I30" s="88"/>
      <c r="J30" s="91" t="s">
        <v>19</v>
      </c>
      <c r="K30" s="91" t="s">
        <v>20</v>
      </c>
    </row>
    <row r="31" spans="1:13" ht="31.5">
      <c r="A31" s="88" t="s">
        <v>88</v>
      </c>
      <c r="B31" s="70" t="s">
        <v>189</v>
      </c>
      <c r="C31" s="88" t="s">
        <v>118</v>
      </c>
      <c r="D31" s="89"/>
      <c r="E31" s="88">
        <f t="shared" si="4"/>
        <v>5</v>
      </c>
      <c r="F31" s="88">
        <f t="shared" si="6"/>
        <v>0</v>
      </c>
      <c r="G31" s="88">
        <f t="shared" si="5"/>
        <v>25</v>
      </c>
      <c r="H31" s="90"/>
      <c r="I31" s="92"/>
      <c r="J31" s="91" t="s">
        <v>21</v>
      </c>
      <c r="K31" s="91" t="s">
        <v>22</v>
      </c>
    </row>
    <row r="32" spans="1:13" ht="31.5">
      <c r="A32" s="88" t="s">
        <v>88</v>
      </c>
      <c r="B32" s="70" t="s">
        <v>99</v>
      </c>
      <c r="C32" s="88" t="s">
        <v>129</v>
      </c>
      <c r="D32" s="89"/>
      <c r="E32" s="88">
        <f t="shared" si="4"/>
        <v>2</v>
      </c>
      <c r="F32" s="88">
        <f t="shared" si="6"/>
        <v>0</v>
      </c>
      <c r="G32" s="88">
        <f t="shared" si="5"/>
        <v>10</v>
      </c>
      <c r="H32" s="90"/>
      <c r="I32" s="92"/>
      <c r="J32" s="91" t="s">
        <v>21</v>
      </c>
      <c r="K32" s="91" t="s">
        <v>22</v>
      </c>
    </row>
    <row r="33" spans="1:11" ht="15.75">
      <c r="A33" s="93"/>
      <c r="B33" s="94" t="s">
        <v>142</v>
      </c>
      <c r="C33" s="93"/>
      <c r="D33" s="93"/>
      <c r="E33" s="93"/>
      <c r="F33" s="93">
        <f>SUM(F21:F32)</f>
        <v>0</v>
      </c>
      <c r="G33" s="93">
        <f>SUM(G21:G32)</f>
        <v>225</v>
      </c>
      <c r="H33" s="95"/>
      <c r="I33" s="96"/>
      <c r="J33" s="97"/>
      <c r="K33" s="97"/>
    </row>
    <row r="34" spans="1:11" ht="94.5">
      <c r="A34" s="9"/>
      <c r="B34" s="77" t="s">
        <v>135</v>
      </c>
      <c r="C34" s="9" t="s">
        <v>144</v>
      </c>
      <c r="D34" s="9" t="s">
        <v>278</v>
      </c>
      <c r="E34" s="9" t="s">
        <v>146</v>
      </c>
      <c r="F34" s="9" t="s">
        <v>151</v>
      </c>
      <c r="G34" s="9" t="s">
        <v>143</v>
      </c>
      <c r="H34" s="77"/>
      <c r="I34" s="77"/>
      <c r="J34" s="86"/>
      <c r="K34" s="86"/>
    </row>
    <row r="35" spans="1:11" ht="31.5">
      <c r="A35" s="88" t="s">
        <v>89</v>
      </c>
      <c r="B35" s="70" t="s">
        <v>190</v>
      </c>
      <c r="C35" s="88" t="s">
        <v>129</v>
      </c>
      <c r="D35" s="89"/>
      <c r="E35" s="88">
        <f t="shared" ref="E35:E56" si="7">IF(C35="yes",5,(IF(C35="No",2,(IF(C35="N/A",0,"Null")))))</f>
        <v>2</v>
      </c>
      <c r="F35" s="88">
        <f t="shared" ref="F35:F56" si="8">D35*E35</f>
        <v>0</v>
      </c>
      <c r="G35" s="88">
        <f t="shared" ref="G35:G56" si="9">E35*5</f>
        <v>10</v>
      </c>
      <c r="H35" s="70"/>
      <c r="I35" s="70"/>
      <c r="J35" s="91" t="s">
        <v>25</v>
      </c>
      <c r="K35" s="91" t="s">
        <v>26</v>
      </c>
    </row>
    <row r="36" spans="1:11" ht="31.5">
      <c r="A36" s="88" t="s">
        <v>89</v>
      </c>
      <c r="B36" s="70" t="s">
        <v>100</v>
      </c>
      <c r="C36" s="88" t="s">
        <v>118</v>
      </c>
      <c r="D36" s="89"/>
      <c r="E36" s="88">
        <f t="shared" si="7"/>
        <v>5</v>
      </c>
      <c r="F36" s="88">
        <f t="shared" si="8"/>
        <v>0</v>
      </c>
      <c r="G36" s="88">
        <f t="shared" si="9"/>
        <v>25</v>
      </c>
      <c r="H36" s="90"/>
      <c r="I36" s="70"/>
      <c r="J36" s="91" t="s">
        <v>27</v>
      </c>
      <c r="K36" s="91" t="s">
        <v>28</v>
      </c>
    </row>
    <row r="37" spans="1:11" ht="31.5">
      <c r="A37" s="88" t="s">
        <v>89</v>
      </c>
      <c r="B37" s="70" t="s">
        <v>101</v>
      </c>
      <c r="C37" s="88" t="s">
        <v>216</v>
      </c>
      <c r="D37" s="89"/>
      <c r="E37" s="88">
        <f t="shared" si="7"/>
        <v>5</v>
      </c>
      <c r="F37" s="88">
        <f t="shared" si="8"/>
        <v>0</v>
      </c>
      <c r="G37" s="88">
        <f t="shared" si="9"/>
        <v>25</v>
      </c>
      <c r="H37" s="90"/>
      <c r="I37" s="92"/>
      <c r="J37" s="91" t="s">
        <v>29</v>
      </c>
      <c r="K37" s="91" t="s">
        <v>30</v>
      </c>
    </row>
    <row r="38" spans="1:11" ht="31.5">
      <c r="A38" s="88" t="s">
        <v>89</v>
      </c>
      <c r="B38" s="70" t="s">
        <v>191</v>
      </c>
      <c r="C38" s="88" t="s">
        <v>216</v>
      </c>
      <c r="D38" s="89"/>
      <c r="E38" s="88">
        <f t="shared" si="7"/>
        <v>5</v>
      </c>
      <c r="F38" s="88">
        <f t="shared" si="8"/>
        <v>0</v>
      </c>
      <c r="G38" s="88">
        <f t="shared" si="9"/>
        <v>25</v>
      </c>
      <c r="H38" s="90"/>
      <c r="I38" s="92"/>
      <c r="J38" s="91" t="s">
        <v>31</v>
      </c>
      <c r="K38" s="91" t="s">
        <v>71</v>
      </c>
    </row>
    <row r="39" spans="1:11" ht="15.75">
      <c r="A39" s="88" t="s">
        <v>89</v>
      </c>
      <c r="B39" s="70" t="s">
        <v>102</v>
      </c>
      <c r="C39" s="88" t="s">
        <v>129</v>
      </c>
      <c r="D39" s="89"/>
      <c r="E39" s="88">
        <f t="shared" si="7"/>
        <v>2</v>
      </c>
      <c r="F39" s="98">
        <f t="shared" si="8"/>
        <v>0</v>
      </c>
      <c r="G39" s="88">
        <f t="shared" si="9"/>
        <v>10</v>
      </c>
      <c r="H39" s="90"/>
      <c r="I39" s="92"/>
      <c r="J39" s="91" t="s">
        <v>31</v>
      </c>
      <c r="K39" s="91" t="s">
        <v>71</v>
      </c>
    </row>
    <row r="40" spans="1:11" ht="15.75">
      <c r="A40" s="88" t="s">
        <v>89</v>
      </c>
      <c r="B40" s="70" t="s">
        <v>120</v>
      </c>
      <c r="C40" s="88" t="s">
        <v>129</v>
      </c>
      <c r="D40" s="89"/>
      <c r="E40" s="88">
        <f t="shared" si="7"/>
        <v>2</v>
      </c>
      <c r="F40" s="88">
        <f t="shared" si="8"/>
        <v>0</v>
      </c>
      <c r="G40" s="88">
        <f t="shared" si="9"/>
        <v>10</v>
      </c>
      <c r="H40" s="90"/>
      <c r="I40" s="92"/>
      <c r="J40" s="91" t="s">
        <v>32</v>
      </c>
      <c r="K40" s="91" t="s">
        <v>72</v>
      </c>
    </row>
    <row r="41" spans="1:11" ht="31.5">
      <c r="A41" s="88" t="s">
        <v>89</v>
      </c>
      <c r="B41" s="70" t="s">
        <v>103</v>
      </c>
      <c r="C41" s="88" t="s">
        <v>129</v>
      </c>
      <c r="D41" s="89"/>
      <c r="E41" s="88">
        <f t="shared" si="7"/>
        <v>2</v>
      </c>
      <c r="F41" s="98">
        <f t="shared" ref="F41" si="10">D41*E41</f>
        <v>0</v>
      </c>
      <c r="G41" s="88">
        <f t="shared" si="9"/>
        <v>10</v>
      </c>
      <c r="H41" s="90"/>
      <c r="I41" s="92"/>
      <c r="J41" s="91" t="s">
        <v>33</v>
      </c>
      <c r="K41" s="91" t="s">
        <v>34</v>
      </c>
    </row>
    <row r="42" spans="1:11" ht="15.75">
      <c r="A42" s="88" t="s">
        <v>89</v>
      </c>
      <c r="B42" s="70" t="s">
        <v>104</v>
      </c>
      <c r="C42" s="88" t="s">
        <v>129</v>
      </c>
      <c r="D42" s="89"/>
      <c r="E42" s="88">
        <f t="shared" si="7"/>
        <v>2</v>
      </c>
      <c r="F42" s="98">
        <f t="shared" ref="F42" si="11">D42*E42</f>
        <v>0</v>
      </c>
      <c r="G42" s="88">
        <f t="shared" si="9"/>
        <v>10</v>
      </c>
      <c r="H42" s="90"/>
      <c r="I42" s="92"/>
      <c r="J42" s="91" t="s">
        <v>35</v>
      </c>
      <c r="K42" s="91" t="s">
        <v>36</v>
      </c>
    </row>
    <row r="43" spans="1:11" ht="15.75">
      <c r="A43" s="88" t="s">
        <v>89</v>
      </c>
      <c r="B43" s="70" t="s">
        <v>105</v>
      </c>
      <c r="C43" s="88" t="s">
        <v>129</v>
      </c>
      <c r="D43" s="89"/>
      <c r="E43" s="88">
        <f t="shared" si="7"/>
        <v>2</v>
      </c>
      <c r="F43" s="88">
        <f t="shared" si="8"/>
        <v>0</v>
      </c>
      <c r="G43" s="88">
        <f t="shared" si="9"/>
        <v>10</v>
      </c>
      <c r="H43" s="90"/>
      <c r="I43" s="92"/>
      <c r="J43" s="91" t="s">
        <v>40</v>
      </c>
      <c r="K43" s="91" t="s">
        <v>41</v>
      </c>
    </row>
    <row r="44" spans="1:11" ht="15.75">
      <c r="A44" s="88" t="s">
        <v>89</v>
      </c>
      <c r="B44" s="70" t="s">
        <v>121</v>
      </c>
      <c r="C44" s="88" t="s">
        <v>129</v>
      </c>
      <c r="D44" s="89"/>
      <c r="E44" s="88">
        <f t="shared" si="7"/>
        <v>2</v>
      </c>
      <c r="F44" s="98">
        <f t="shared" si="8"/>
        <v>0</v>
      </c>
      <c r="G44" s="88">
        <f t="shared" si="9"/>
        <v>10</v>
      </c>
      <c r="H44" s="70"/>
      <c r="I44" s="70"/>
      <c r="J44" s="91" t="s">
        <v>44</v>
      </c>
      <c r="K44" s="91" t="s">
        <v>45</v>
      </c>
    </row>
    <row r="45" spans="1:11" ht="15.75">
      <c r="A45" s="88" t="s">
        <v>90</v>
      </c>
      <c r="B45" s="70" t="s">
        <v>107</v>
      </c>
      <c r="C45" s="88" t="s">
        <v>118</v>
      </c>
      <c r="D45" s="89"/>
      <c r="E45" s="88">
        <f t="shared" si="7"/>
        <v>5</v>
      </c>
      <c r="F45" s="88">
        <f t="shared" si="8"/>
        <v>0</v>
      </c>
      <c r="G45" s="88">
        <f t="shared" si="9"/>
        <v>25</v>
      </c>
      <c r="H45" s="90"/>
      <c r="I45" s="70"/>
      <c r="J45" s="91" t="s">
        <v>46</v>
      </c>
      <c r="K45" s="91" t="s">
        <v>47</v>
      </c>
    </row>
    <row r="46" spans="1:11" ht="15.75">
      <c r="A46" s="88" t="s">
        <v>90</v>
      </c>
      <c r="B46" s="70" t="s">
        <v>106</v>
      </c>
      <c r="C46" s="88" t="s">
        <v>118</v>
      </c>
      <c r="D46" s="89"/>
      <c r="E46" s="88">
        <f t="shared" si="7"/>
        <v>5</v>
      </c>
      <c r="F46" s="88">
        <f t="shared" si="8"/>
        <v>0</v>
      </c>
      <c r="G46" s="88">
        <f t="shared" si="9"/>
        <v>25</v>
      </c>
      <c r="H46" s="90"/>
      <c r="I46" s="92"/>
      <c r="J46" s="91" t="s">
        <v>48</v>
      </c>
      <c r="K46" s="91" t="s">
        <v>49</v>
      </c>
    </row>
    <row r="47" spans="1:11" ht="15.75">
      <c r="A47" s="88" t="s">
        <v>90</v>
      </c>
      <c r="B47" s="70" t="s">
        <v>273</v>
      </c>
      <c r="C47" s="88" t="s">
        <v>118</v>
      </c>
      <c r="D47" s="89"/>
      <c r="E47" s="88">
        <f t="shared" si="7"/>
        <v>5</v>
      </c>
      <c r="F47" s="88">
        <f t="shared" si="8"/>
        <v>0</v>
      </c>
      <c r="G47" s="88">
        <f t="shared" si="9"/>
        <v>25</v>
      </c>
      <c r="H47" s="90"/>
      <c r="I47" s="70"/>
      <c r="J47" s="91" t="s">
        <v>37</v>
      </c>
      <c r="K47" s="91" t="s">
        <v>274</v>
      </c>
    </row>
    <row r="48" spans="1:11" ht="15.75">
      <c r="A48" s="88" t="s">
        <v>90</v>
      </c>
      <c r="B48" s="70" t="s">
        <v>108</v>
      </c>
      <c r="C48" s="88" t="s">
        <v>118</v>
      </c>
      <c r="D48" s="89"/>
      <c r="E48" s="88">
        <f t="shared" si="7"/>
        <v>5</v>
      </c>
      <c r="F48" s="88">
        <f t="shared" si="8"/>
        <v>0</v>
      </c>
      <c r="G48" s="88">
        <f t="shared" si="9"/>
        <v>25</v>
      </c>
      <c r="H48" s="90"/>
      <c r="I48" s="70"/>
      <c r="J48" s="91" t="s">
        <v>39</v>
      </c>
      <c r="K48" s="91" t="s">
        <v>73</v>
      </c>
    </row>
    <row r="49" spans="1:11" ht="15.75">
      <c r="A49" s="88" t="s">
        <v>90</v>
      </c>
      <c r="B49" s="70" t="s">
        <v>109</v>
      </c>
      <c r="C49" s="88" t="s">
        <v>129</v>
      </c>
      <c r="D49" s="89"/>
      <c r="E49" s="88">
        <f t="shared" si="7"/>
        <v>2</v>
      </c>
      <c r="F49" s="88">
        <f t="shared" si="8"/>
        <v>0</v>
      </c>
      <c r="G49" s="88">
        <f t="shared" si="9"/>
        <v>10</v>
      </c>
      <c r="H49" s="90"/>
      <c r="I49" s="92"/>
      <c r="J49" s="91" t="s">
        <v>50</v>
      </c>
      <c r="K49" s="91" t="s">
        <v>51</v>
      </c>
    </row>
    <row r="50" spans="1:11" ht="15.75">
      <c r="A50" s="88" t="s">
        <v>90</v>
      </c>
      <c r="B50" s="70" t="s">
        <v>110</v>
      </c>
      <c r="C50" s="88" t="s">
        <v>129</v>
      </c>
      <c r="D50" s="89"/>
      <c r="E50" s="88">
        <f t="shared" si="7"/>
        <v>2</v>
      </c>
      <c r="F50" s="88">
        <f t="shared" si="8"/>
        <v>0</v>
      </c>
      <c r="G50" s="88">
        <f t="shared" si="9"/>
        <v>10</v>
      </c>
      <c r="H50" s="90"/>
      <c r="I50" s="92"/>
      <c r="J50" s="91" t="s">
        <v>77</v>
      </c>
      <c r="K50" s="91" t="s">
        <v>84</v>
      </c>
    </row>
    <row r="51" spans="1:11" ht="15.75">
      <c r="A51" s="88" t="s">
        <v>90</v>
      </c>
      <c r="B51" s="70" t="s">
        <v>111</v>
      </c>
      <c r="C51" s="88" t="s">
        <v>129</v>
      </c>
      <c r="D51" s="89"/>
      <c r="E51" s="88">
        <f t="shared" si="7"/>
        <v>2</v>
      </c>
      <c r="F51" s="98">
        <f t="shared" ref="F51" si="12">D51*E51</f>
        <v>0</v>
      </c>
      <c r="G51" s="88">
        <f t="shared" si="9"/>
        <v>10</v>
      </c>
      <c r="H51" s="90"/>
      <c r="I51" s="92"/>
      <c r="J51" s="91" t="s">
        <v>74</v>
      </c>
      <c r="K51" s="91" t="s">
        <v>84</v>
      </c>
    </row>
    <row r="52" spans="1:11" ht="21.75" customHeight="1">
      <c r="A52" s="88" t="s">
        <v>90</v>
      </c>
      <c r="B52" s="70" t="s">
        <v>112</v>
      </c>
      <c r="C52" s="88" t="s">
        <v>129</v>
      </c>
      <c r="D52" s="89"/>
      <c r="E52" s="88">
        <f t="shared" si="7"/>
        <v>2</v>
      </c>
      <c r="F52" s="88">
        <f t="shared" si="8"/>
        <v>0</v>
      </c>
      <c r="G52" s="88">
        <f t="shared" si="9"/>
        <v>10</v>
      </c>
      <c r="H52" s="90"/>
      <c r="I52" s="92"/>
      <c r="J52" s="91" t="s">
        <v>75</v>
      </c>
      <c r="K52" s="91" t="s">
        <v>84</v>
      </c>
    </row>
    <row r="53" spans="1:11" ht="31.5">
      <c r="A53" s="88" t="s">
        <v>90</v>
      </c>
      <c r="B53" s="70" t="s">
        <v>267</v>
      </c>
      <c r="C53" s="88" t="s">
        <v>129</v>
      </c>
      <c r="D53" s="89"/>
      <c r="E53" s="88">
        <f t="shared" si="7"/>
        <v>2</v>
      </c>
      <c r="F53" s="98">
        <f t="shared" si="8"/>
        <v>0</v>
      </c>
      <c r="G53" s="88">
        <f t="shared" si="9"/>
        <v>10</v>
      </c>
      <c r="H53" s="90"/>
      <c r="I53" s="92"/>
      <c r="J53" s="91" t="s">
        <v>76</v>
      </c>
      <c r="K53" s="91" t="s">
        <v>84</v>
      </c>
    </row>
    <row r="54" spans="1:11" ht="15.75">
      <c r="A54" s="88" t="s">
        <v>91</v>
      </c>
      <c r="B54" s="70" t="s">
        <v>113</v>
      </c>
      <c r="C54" s="88" t="s">
        <v>118</v>
      </c>
      <c r="D54" s="89"/>
      <c r="E54" s="88">
        <f t="shared" si="7"/>
        <v>5</v>
      </c>
      <c r="F54" s="88">
        <f t="shared" si="8"/>
        <v>0</v>
      </c>
      <c r="G54" s="88">
        <f t="shared" si="9"/>
        <v>25</v>
      </c>
      <c r="H54" s="90"/>
      <c r="I54" s="70"/>
      <c r="J54" s="91" t="s">
        <v>52</v>
      </c>
      <c r="K54" s="91" t="s">
        <v>53</v>
      </c>
    </row>
    <row r="55" spans="1:11" ht="15.75">
      <c r="A55" s="88" t="s">
        <v>91</v>
      </c>
      <c r="B55" s="70" t="s">
        <v>114</v>
      </c>
      <c r="C55" s="88" t="s">
        <v>129</v>
      </c>
      <c r="D55" s="89"/>
      <c r="E55" s="88">
        <f t="shared" si="7"/>
        <v>2</v>
      </c>
      <c r="F55" s="88">
        <f t="shared" si="8"/>
        <v>0</v>
      </c>
      <c r="G55" s="88">
        <f t="shared" si="9"/>
        <v>10</v>
      </c>
      <c r="H55" s="90"/>
      <c r="I55" s="92"/>
      <c r="J55" s="91" t="s">
        <v>79</v>
      </c>
      <c r="K55" s="91" t="s">
        <v>84</v>
      </c>
    </row>
    <row r="56" spans="1:11" ht="31.5">
      <c r="A56" s="88" t="s">
        <v>91</v>
      </c>
      <c r="B56" s="70" t="s">
        <v>119</v>
      </c>
      <c r="C56" s="88" t="s">
        <v>118</v>
      </c>
      <c r="D56" s="89"/>
      <c r="E56" s="88">
        <f t="shared" si="7"/>
        <v>5</v>
      </c>
      <c r="F56" s="88">
        <f t="shared" si="8"/>
        <v>0</v>
      </c>
      <c r="G56" s="88">
        <f t="shared" si="9"/>
        <v>25</v>
      </c>
      <c r="H56" s="90"/>
      <c r="I56" s="70"/>
      <c r="J56" s="91" t="s">
        <v>54</v>
      </c>
      <c r="K56" s="91" t="s">
        <v>78</v>
      </c>
    </row>
    <row r="57" spans="1:11" ht="15.75">
      <c r="A57" s="93"/>
      <c r="B57" s="94" t="s">
        <v>142</v>
      </c>
      <c r="C57" s="93"/>
      <c r="D57" s="93"/>
      <c r="E57" s="93"/>
      <c r="F57" s="93">
        <f>SUM(F35:F56)</f>
        <v>0</v>
      </c>
      <c r="G57" s="93">
        <f>SUM(G35:H56)</f>
        <v>355</v>
      </c>
      <c r="H57" s="95"/>
      <c r="I57" s="96"/>
      <c r="J57" s="97"/>
      <c r="K57" s="97"/>
    </row>
    <row r="58" spans="1:11" ht="94.5">
      <c r="A58" s="9"/>
      <c r="B58" s="77" t="s">
        <v>133</v>
      </c>
      <c r="C58" s="9" t="s">
        <v>144</v>
      </c>
      <c r="D58" s="9" t="s">
        <v>278</v>
      </c>
      <c r="E58" s="9" t="s">
        <v>146</v>
      </c>
      <c r="F58" s="9" t="s">
        <v>151</v>
      </c>
      <c r="G58" s="9" t="s">
        <v>143</v>
      </c>
      <c r="H58" s="77"/>
      <c r="I58" s="77"/>
      <c r="J58" s="86"/>
      <c r="K58" s="86"/>
    </row>
    <row r="59" spans="1:11" ht="31.5">
      <c r="A59" s="88" t="s">
        <v>57</v>
      </c>
      <c r="B59" s="70" t="s">
        <v>139</v>
      </c>
      <c r="C59" s="88" t="s">
        <v>118</v>
      </c>
      <c r="D59" s="89"/>
      <c r="E59" s="88">
        <f t="shared" ref="E59:E64" si="13">IF(C59="yes",5,(IF(C59="No",2,(IF(C59="N/A",0,"Null")))))</f>
        <v>5</v>
      </c>
      <c r="F59" s="88">
        <f t="shared" ref="F59:F64" si="14">D59*E59</f>
        <v>0</v>
      </c>
      <c r="G59" s="88">
        <f t="shared" ref="G59:G64" si="15">E59*5</f>
        <v>25</v>
      </c>
      <c r="H59" s="90"/>
      <c r="I59" s="70"/>
      <c r="J59" s="99"/>
      <c r="K59" s="99"/>
    </row>
    <row r="60" spans="1:11" ht="47.25">
      <c r="A60" s="88" t="s">
        <v>57</v>
      </c>
      <c r="B60" s="70" t="s">
        <v>137</v>
      </c>
      <c r="C60" s="88" t="s">
        <v>118</v>
      </c>
      <c r="D60" s="89"/>
      <c r="E60" s="88">
        <f t="shared" si="13"/>
        <v>5</v>
      </c>
      <c r="F60" s="88">
        <f t="shared" si="14"/>
        <v>0</v>
      </c>
      <c r="G60" s="88">
        <f t="shared" si="15"/>
        <v>25</v>
      </c>
      <c r="H60" s="90"/>
      <c r="I60" s="70"/>
      <c r="J60" s="91" t="s">
        <v>60</v>
      </c>
      <c r="K60" s="91" t="s">
        <v>61</v>
      </c>
    </row>
    <row r="61" spans="1:11" ht="47.25">
      <c r="A61" s="88" t="s">
        <v>57</v>
      </c>
      <c r="B61" s="70" t="s">
        <v>140</v>
      </c>
      <c r="C61" s="88" t="s">
        <v>118</v>
      </c>
      <c r="D61" s="89"/>
      <c r="E61" s="88">
        <f t="shared" si="13"/>
        <v>5</v>
      </c>
      <c r="F61" s="88">
        <f t="shared" si="14"/>
        <v>0</v>
      </c>
      <c r="G61" s="88">
        <f t="shared" si="15"/>
        <v>25</v>
      </c>
      <c r="H61" s="90"/>
      <c r="I61" s="70"/>
      <c r="J61" s="91" t="s">
        <v>14</v>
      </c>
      <c r="K61" s="91" t="s">
        <v>15</v>
      </c>
    </row>
    <row r="62" spans="1:11" ht="47.25">
      <c r="A62" s="88" t="s">
        <v>57</v>
      </c>
      <c r="B62" s="70" t="s">
        <v>138</v>
      </c>
      <c r="C62" s="88" t="s">
        <v>118</v>
      </c>
      <c r="D62" s="89"/>
      <c r="E62" s="88">
        <f t="shared" si="13"/>
        <v>5</v>
      </c>
      <c r="F62" s="88">
        <f t="shared" si="14"/>
        <v>0</v>
      </c>
      <c r="G62" s="88">
        <f t="shared" si="15"/>
        <v>25</v>
      </c>
      <c r="H62" s="100"/>
      <c r="I62" s="70"/>
      <c r="J62" s="91" t="s">
        <v>23</v>
      </c>
      <c r="K62" s="91" t="s">
        <v>24</v>
      </c>
    </row>
    <row r="63" spans="1:11" ht="31.5">
      <c r="A63" s="88" t="s">
        <v>57</v>
      </c>
      <c r="B63" s="70" t="s">
        <v>141</v>
      </c>
      <c r="C63" s="88" t="s">
        <v>118</v>
      </c>
      <c r="D63" s="89"/>
      <c r="E63" s="88">
        <f t="shared" si="13"/>
        <v>5</v>
      </c>
      <c r="F63" s="88">
        <f t="shared" si="14"/>
        <v>0</v>
      </c>
      <c r="G63" s="88">
        <f t="shared" si="15"/>
        <v>25</v>
      </c>
      <c r="H63" s="90"/>
      <c r="I63" s="70"/>
      <c r="J63" s="91" t="s">
        <v>58</v>
      </c>
      <c r="K63" s="91" t="s">
        <v>59</v>
      </c>
    </row>
    <row r="64" spans="1:11" ht="15.75">
      <c r="A64" s="88" t="s">
        <v>57</v>
      </c>
      <c r="B64" s="70" t="s">
        <v>125</v>
      </c>
      <c r="C64" s="88" t="s">
        <v>129</v>
      </c>
      <c r="D64" s="89"/>
      <c r="E64" s="88">
        <f t="shared" si="13"/>
        <v>2</v>
      </c>
      <c r="F64" s="88">
        <f t="shared" si="14"/>
        <v>0</v>
      </c>
      <c r="G64" s="88">
        <f t="shared" si="15"/>
        <v>10</v>
      </c>
      <c r="H64" s="90"/>
      <c r="I64" s="70"/>
      <c r="J64" s="91" t="s">
        <v>62</v>
      </c>
      <c r="K64" s="91" t="s">
        <v>275</v>
      </c>
    </row>
    <row r="65" spans="1:11" ht="15.75">
      <c r="A65" s="93"/>
      <c r="B65" s="94" t="s">
        <v>142</v>
      </c>
      <c r="C65" s="93"/>
      <c r="D65" s="93"/>
      <c r="E65" s="93"/>
      <c r="F65" s="93">
        <f>SUM(F59:F64)</f>
        <v>0</v>
      </c>
      <c r="G65" s="93">
        <f>SUM(G59:G64)</f>
        <v>135</v>
      </c>
      <c r="H65" s="95"/>
      <c r="I65" s="96"/>
      <c r="J65" s="97"/>
      <c r="K65" s="97"/>
    </row>
    <row r="66" spans="1:11" ht="94.5">
      <c r="A66" s="9"/>
      <c r="B66" s="77" t="s">
        <v>136</v>
      </c>
      <c r="C66" s="9" t="s">
        <v>144</v>
      </c>
      <c r="D66" s="9" t="s">
        <v>278</v>
      </c>
      <c r="E66" s="9" t="s">
        <v>146</v>
      </c>
      <c r="F66" s="9" t="s">
        <v>151</v>
      </c>
      <c r="G66" s="9" t="s">
        <v>143</v>
      </c>
      <c r="H66" s="77"/>
      <c r="I66" s="77"/>
      <c r="J66" s="86"/>
      <c r="K66" s="86"/>
    </row>
    <row r="67" spans="1:11" ht="53.25" customHeight="1">
      <c r="A67" s="88" t="s">
        <v>92</v>
      </c>
      <c r="B67" s="70" t="s">
        <v>115</v>
      </c>
      <c r="C67" s="88" t="s">
        <v>129</v>
      </c>
      <c r="D67" s="88"/>
      <c r="E67" s="88">
        <f>IF(C67="yes",5,(IF(C67="No",2,(IF(C67="N/A",0,"Null")))))</f>
        <v>2</v>
      </c>
      <c r="F67" s="88">
        <f t="shared" ref="F67:F71" si="16">D67*E67</f>
        <v>0</v>
      </c>
      <c r="G67" s="88">
        <f t="shared" ref="G67:G71" si="17">E67*5</f>
        <v>10</v>
      </c>
      <c r="H67" s="90"/>
      <c r="I67" s="70"/>
      <c r="J67" s="91" t="s">
        <v>55</v>
      </c>
      <c r="K67" s="91" t="s">
        <v>80</v>
      </c>
    </row>
    <row r="68" spans="1:11" ht="15.75">
      <c r="A68" s="88" t="s">
        <v>93</v>
      </c>
      <c r="B68" s="70" t="s">
        <v>116</v>
      </c>
      <c r="C68" s="88" t="s">
        <v>129</v>
      </c>
      <c r="D68" s="88"/>
      <c r="E68" s="88">
        <f>IF(C68="yes",5,(IF(C68="No",2,(IF(C68="N/A",0,"Null")))))</f>
        <v>2</v>
      </c>
      <c r="F68" s="88">
        <f t="shared" si="16"/>
        <v>0</v>
      </c>
      <c r="G68" s="88">
        <f t="shared" si="17"/>
        <v>10</v>
      </c>
      <c r="H68" s="90"/>
      <c r="I68" s="92"/>
      <c r="J68" s="91" t="s">
        <v>56</v>
      </c>
      <c r="K68" s="91" t="s">
        <v>81</v>
      </c>
    </row>
    <row r="69" spans="1:11" ht="15.75">
      <c r="A69" s="88" t="s">
        <v>93</v>
      </c>
      <c r="B69" s="70" t="s">
        <v>117</v>
      </c>
      <c r="C69" s="88" t="s">
        <v>129</v>
      </c>
      <c r="D69" s="88"/>
      <c r="E69" s="88">
        <f>IF(C69="yes",5,(IF(C69="No",2,(IF(C69="N/A",0,"Null")))))</f>
        <v>2</v>
      </c>
      <c r="F69" s="88">
        <f t="shared" si="16"/>
        <v>0</v>
      </c>
      <c r="G69" s="88">
        <f t="shared" si="17"/>
        <v>10</v>
      </c>
      <c r="H69" s="90"/>
      <c r="I69" s="92"/>
      <c r="J69" s="91" t="s">
        <v>83</v>
      </c>
      <c r="K69" s="91" t="s">
        <v>84</v>
      </c>
    </row>
    <row r="70" spans="1:11" ht="31.5">
      <c r="A70" s="88" t="s">
        <v>93</v>
      </c>
      <c r="B70" s="70" t="s">
        <v>192</v>
      </c>
      <c r="C70" s="88" t="s">
        <v>129</v>
      </c>
      <c r="D70" s="88"/>
      <c r="E70" s="88">
        <f>IF(C70="yes",5,(IF(C70="No",2,(IF(C70="N/A",0,"Null")))))</f>
        <v>2</v>
      </c>
      <c r="F70" s="88">
        <f t="shared" si="16"/>
        <v>0</v>
      </c>
      <c r="G70" s="88">
        <f t="shared" si="17"/>
        <v>10</v>
      </c>
      <c r="H70" s="90"/>
      <c r="I70" s="92"/>
      <c r="J70" s="91" t="s">
        <v>83</v>
      </c>
      <c r="K70" s="91" t="s">
        <v>84</v>
      </c>
    </row>
    <row r="71" spans="1:11" ht="15.75">
      <c r="A71" s="88" t="s">
        <v>93</v>
      </c>
      <c r="B71" s="70" t="s">
        <v>193</v>
      </c>
      <c r="C71" s="115" t="s">
        <v>216</v>
      </c>
      <c r="D71" s="88"/>
      <c r="E71" s="88">
        <f>IF(C71="yes",5,(IF(C71="No",2,(IF(C71="N/A",0,"Null")))))</f>
        <v>5</v>
      </c>
      <c r="F71" s="88">
        <f t="shared" si="16"/>
        <v>0</v>
      </c>
      <c r="G71" s="88">
        <f t="shared" si="17"/>
        <v>25</v>
      </c>
      <c r="H71" s="90"/>
      <c r="I71" s="92"/>
      <c r="J71" s="91" t="s">
        <v>83</v>
      </c>
      <c r="K71" s="91" t="s">
        <v>84</v>
      </c>
    </row>
    <row r="72" spans="1:11" ht="15.75">
      <c r="A72" s="93"/>
      <c r="B72" s="94" t="s">
        <v>142</v>
      </c>
      <c r="C72" s="93"/>
      <c r="D72" s="93"/>
      <c r="E72" s="93"/>
      <c r="F72" s="93">
        <f>SUM(F67:F71)</f>
        <v>0</v>
      </c>
      <c r="G72" s="93">
        <f>SUM(G67:G71)</f>
        <v>65</v>
      </c>
      <c r="H72" s="95"/>
      <c r="I72" s="96"/>
      <c r="J72" s="97"/>
      <c r="K72" s="97"/>
    </row>
    <row r="74" spans="1:11">
      <c r="C74" s="101" t="s">
        <v>147</v>
      </c>
    </row>
    <row r="75" spans="1:11">
      <c r="C75" s="102"/>
      <c r="D75" s="103" t="s">
        <v>152</v>
      </c>
      <c r="E75" s="104"/>
    </row>
    <row r="76" spans="1:11" ht="23.25" customHeight="1">
      <c r="B76" s="110">
        <v>0.69989999999999997</v>
      </c>
      <c r="C76" s="105" t="s">
        <v>263</v>
      </c>
      <c r="D76" s="103" t="s">
        <v>169</v>
      </c>
      <c r="E76" s="104"/>
    </row>
    <row r="77" spans="1:11" ht="16.5" thickBot="1">
      <c r="B77" s="110">
        <v>0.49990000000000001</v>
      </c>
      <c r="C77" s="106" t="s">
        <v>264</v>
      </c>
      <c r="D77" s="107" t="s">
        <v>170</v>
      </c>
      <c r="E77" s="104"/>
    </row>
    <row r="78" spans="1:11" ht="16.5" thickBot="1">
      <c r="B78" s="110">
        <v>0.25999</v>
      </c>
      <c r="C78" s="108" t="s">
        <v>265</v>
      </c>
      <c r="D78" s="107" t="s">
        <v>171</v>
      </c>
      <c r="E78" s="104"/>
    </row>
    <row r="79" spans="1:11" ht="15.75">
      <c r="B79" s="111"/>
      <c r="C79" s="109" t="s">
        <v>266</v>
      </c>
      <c r="D79" s="107" t="s">
        <v>172</v>
      </c>
      <c r="E79" s="104"/>
    </row>
    <row r="80" spans="1:11">
      <c r="E80" s="104"/>
    </row>
    <row r="81" spans="1:5">
      <c r="E81" s="104"/>
    </row>
    <row r="84" spans="1:5">
      <c r="A84" s="113" t="s">
        <v>271</v>
      </c>
    </row>
  </sheetData>
  <autoFilter ref="A10:K72"/>
  <mergeCells count="3">
    <mergeCell ref="A1:I1"/>
    <mergeCell ref="H2:I2"/>
    <mergeCell ref="H3:I8"/>
  </mergeCells>
  <conditionalFormatting sqref="G3:G8">
    <cfRule type="cellIs" dxfId="40" priority="2" operator="equal">
      <formula>"N/A"</formula>
    </cfRule>
    <cfRule type="cellIs" dxfId="39" priority="4" operator="lessThan">
      <formula>$B$78</formula>
    </cfRule>
    <cfRule type="cellIs" dxfId="38" priority="6" operator="between">
      <formula>$B$77</formula>
      <formula>$B$76</formula>
    </cfRule>
    <cfRule type="cellIs" dxfId="37" priority="7" operator="greaterThanOrEqual">
      <formula>$B$76</formula>
    </cfRule>
  </conditionalFormatting>
  <conditionalFormatting sqref="G3:G8">
    <cfRule type="cellIs" dxfId="36" priority="5" operator="between">
      <formula>$B$78</formula>
      <formula>$B$77</formula>
    </cfRule>
  </conditionalFormatting>
  <conditionalFormatting sqref="C12:C71">
    <cfRule type="cellIs" dxfId="35" priority="3" operator="equal">
      <formula>"N/A"</formula>
    </cfRule>
  </conditionalFormatting>
  <conditionalFormatting sqref="F3:F10 F12:F72">
    <cfRule type="cellIs" dxfId="34" priority="1" operator="equal">
      <formula>0</formula>
    </cfRule>
  </conditionalFormatting>
  <pageMargins left="0.7" right="0.7" top="0.75" bottom="0.75" header="0.3" footer="0.3"/>
  <pageSetup orientation="portrait" horizontalDpi="200" verticalDpi="200" r:id="rId1"/>
  <ignoredErrors>
    <ignoredError sqref="E3:E4 E5:E8 G3:G8 F3:F8 F13 E12:G12 E14:G72 E13 G13 B3:B5" unlockedFormula="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AE295"/>
  <sheetViews>
    <sheetView showGridLines="0" topLeftCell="A25" zoomScale="90" zoomScaleNormal="90" workbookViewId="0">
      <selection activeCell="K3" sqref="K3"/>
    </sheetView>
  </sheetViews>
  <sheetFormatPr defaultColWidth="9.140625" defaultRowHeight="15"/>
  <cols>
    <col min="1" max="1" customWidth="true" style="267" width="3.85546875" collapsed="true"/>
    <col min="2" max="2" customWidth="true" style="141" width="34.42578125" collapsed="true"/>
    <col min="3" max="3" bestFit="true" customWidth="true" style="141" width="14.85546875" collapsed="true"/>
    <col min="4" max="4" customWidth="true" style="141" width="69.42578125" collapsed="true"/>
    <col min="5" max="6" customWidth="true" style="141" width="18.5703125" collapsed="true"/>
    <col min="7" max="8" customWidth="true" style="267" width="18.5703125" collapsed="true"/>
    <col min="9" max="9" customWidth="true" style="267" width="18.28515625" collapsed="true"/>
    <col min="10" max="30" style="267" width="9.140625" collapsed="true"/>
    <col min="31" max="16384" style="141" width="9.140625" collapsed="true"/>
  </cols>
  <sheetData>
    <row r="1" spans="1:31" s="267" customFormat="1" ht="48.75" customHeight="1">
      <c r="B1" s="474" t="s">
        <v>416</v>
      </c>
      <c r="C1" s="474"/>
      <c r="D1" s="474"/>
      <c r="E1" s="474"/>
      <c r="F1" s="474"/>
      <c r="G1" s="474"/>
      <c r="H1" s="474"/>
      <c r="I1" s="474"/>
    </row>
    <row r="2" spans="1:31" ht="21">
      <c r="A2" s="268"/>
      <c r="B2" s="117" t="s">
        <v>417</v>
      </c>
      <c r="C2" s="484"/>
      <c r="D2" s="485"/>
      <c r="E2" s="485"/>
      <c r="F2" s="485"/>
      <c r="G2" s="485"/>
      <c r="H2" s="395" t="s">
        <v>339</v>
      </c>
      <c r="I2" s="397"/>
    </row>
    <row r="3" spans="1:31" ht="21" customHeight="1">
      <c r="A3" s="268"/>
      <c r="B3" s="117" t="s">
        <v>96</v>
      </c>
      <c r="C3" s="486"/>
      <c r="D3" s="487"/>
      <c r="E3" s="487"/>
      <c r="F3" s="487"/>
      <c r="G3" s="487"/>
      <c r="H3" s="460" t="s">
        <v>418</v>
      </c>
      <c r="I3" s="462"/>
    </row>
    <row r="4" spans="1:31" ht="21" customHeight="1">
      <c r="A4" s="268"/>
      <c r="B4" s="117" t="s">
        <v>168</v>
      </c>
      <c r="C4" s="486"/>
      <c r="D4" s="487"/>
      <c r="E4" s="487"/>
      <c r="F4" s="487"/>
      <c r="G4" s="487"/>
      <c r="H4" s="488">
        <f>'Quality Assurance #1'!$C$7</f>
        <v>0</v>
      </c>
      <c r="I4" s="489"/>
    </row>
    <row r="5" spans="1:31" ht="21" customHeight="1">
      <c r="A5" s="268"/>
      <c r="B5" s="117" t="s">
        <v>162</v>
      </c>
      <c r="C5" s="481"/>
      <c r="D5" s="482"/>
      <c r="E5" s="482"/>
      <c r="F5" s="482"/>
      <c r="G5" s="482"/>
      <c r="H5" s="482"/>
      <c r="I5" s="483"/>
    </row>
    <row r="6" spans="1:31" ht="21" customHeight="1">
      <c r="A6" s="268"/>
      <c r="B6" s="117" t="s">
        <v>97</v>
      </c>
      <c r="C6" s="478"/>
      <c r="D6" s="479"/>
      <c r="E6" s="479"/>
      <c r="F6" s="479"/>
      <c r="G6" s="479"/>
      <c r="H6" s="479"/>
      <c r="I6" s="480"/>
    </row>
    <row r="7" spans="1:31" ht="21" customHeight="1">
      <c r="A7" s="268"/>
      <c r="B7" s="117" t="s">
        <v>163</v>
      </c>
      <c r="C7" s="475"/>
      <c r="D7" s="476"/>
      <c r="E7" s="476"/>
      <c r="F7" s="476"/>
      <c r="G7" s="476"/>
      <c r="H7" s="476"/>
      <c r="I7" s="477"/>
    </row>
    <row r="8" spans="1:31" ht="21" customHeight="1">
      <c r="A8" s="268"/>
      <c r="B8" s="117" t="s">
        <v>419</v>
      </c>
      <c r="C8" s="437"/>
      <c r="D8" s="438"/>
      <c r="E8" s="438"/>
      <c r="F8" s="438"/>
      <c r="G8" s="438"/>
      <c r="H8" s="438"/>
      <c r="I8" s="439"/>
      <c r="AE8" s="267"/>
    </row>
    <row r="9" spans="1:31" ht="15.75">
      <c r="A9" s="268"/>
      <c r="B9" s="269"/>
      <c r="C9" s="271"/>
      <c r="D9" s="272"/>
      <c r="E9" s="269"/>
      <c r="F9" s="270"/>
    </row>
    <row r="10" spans="1:31" ht="20.100000000000001" customHeight="1">
      <c r="A10" s="268"/>
      <c r="B10" s="434" t="s">
        <v>420</v>
      </c>
      <c r="C10" s="435"/>
      <c r="D10" s="435"/>
      <c r="E10" s="435"/>
      <c r="F10" s="435"/>
      <c r="G10" s="435"/>
      <c r="H10" s="435"/>
      <c r="I10" s="436"/>
    </row>
    <row r="11" spans="1:31" ht="45" customHeight="1">
      <c r="A11" s="268"/>
      <c r="B11" s="273" t="s">
        <v>154</v>
      </c>
      <c r="C11" s="425"/>
      <c r="D11" s="426"/>
      <c r="E11" s="426"/>
      <c r="F11" s="426"/>
      <c r="G11" s="426"/>
      <c r="H11" s="426"/>
      <c r="I11" s="427"/>
    </row>
    <row r="12" spans="1:31" s="267" customFormat="1" ht="45" customHeight="1">
      <c r="A12" s="268"/>
      <c r="B12" s="273" t="s">
        <v>155</v>
      </c>
      <c r="C12" s="455"/>
      <c r="D12" s="456"/>
      <c r="E12" s="456"/>
      <c r="F12" s="456"/>
      <c r="G12" s="456"/>
      <c r="H12" s="456"/>
      <c r="I12" s="457"/>
    </row>
    <row r="13" spans="1:31" s="267" customFormat="1" ht="45" customHeight="1">
      <c r="A13" s="268"/>
      <c r="B13" s="324" t="s">
        <v>156</v>
      </c>
      <c r="C13" s="425"/>
      <c r="D13" s="426"/>
      <c r="E13" s="426"/>
      <c r="F13" s="426"/>
      <c r="G13" s="426"/>
      <c r="H13" s="426"/>
      <c r="I13" s="427"/>
    </row>
    <row r="14" spans="1:31" s="267" customFormat="1" ht="31.5" customHeight="1">
      <c r="A14" s="268"/>
      <c r="B14" s="434" t="s">
        <v>421</v>
      </c>
      <c r="C14" s="435"/>
      <c r="D14" s="435"/>
      <c r="E14" s="435"/>
      <c r="F14" s="435"/>
      <c r="G14" s="435"/>
      <c r="H14" s="435"/>
      <c r="I14" s="436"/>
    </row>
    <row r="15" spans="1:31" s="267" customFormat="1" ht="31.5" customHeight="1">
      <c r="A15" s="268"/>
      <c r="B15" s="452" t="s">
        <v>537</v>
      </c>
      <c r="C15" s="453"/>
      <c r="D15" s="453"/>
      <c r="E15" s="453"/>
      <c r="F15" s="453"/>
      <c r="G15" s="453"/>
      <c r="H15" s="453"/>
      <c r="I15" s="454"/>
    </row>
    <row r="16" spans="1:31" s="267" customFormat="1" ht="155.25" customHeight="1">
      <c r="A16" s="268"/>
      <c r="B16" s="443" t="s">
        <v>540</v>
      </c>
      <c r="C16" s="444"/>
      <c r="D16" s="444"/>
      <c r="E16" s="444"/>
      <c r="F16" s="444"/>
      <c r="G16" s="444"/>
      <c r="H16" s="444"/>
      <c r="I16" s="445"/>
    </row>
    <row r="17" spans="1:9" s="267" customFormat="1" ht="155.25" customHeight="1">
      <c r="A17" s="268"/>
      <c r="B17" s="446"/>
      <c r="C17" s="447"/>
      <c r="D17" s="447"/>
      <c r="E17" s="447"/>
      <c r="F17" s="447"/>
      <c r="G17" s="447"/>
      <c r="H17" s="447"/>
      <c r="I17" s="448"/>
    </row>
    <row r="18" spans="1:9" s="267" customFormat="1" ht="155.25" customHeight="1">
      <c r="A18" s="268"/>
      <c r="B18" s="449"/>
      <c r="C18" s="450"/>
      <c r="D18" s="450"/>
      <c r="E18" s="450"/>
      <c r="F18" s="450"/>
      <c r="G18" s="450"/>
      <c r="H18" s="450"/>
      <c r="I18" s="451"/>
    </row>
    <row r="19" spans="1:9" s="267" customFormat="1" ht="48.75" customHeight="1">
      <c r="A19" s="268"/>
      <c r="B19" s="323" t="s">
        <v>536</v>
      </c>
      <c r="C19" s="440"/>
      <c r="D19" s="441"/>
      <c r="E19" s="441"/>
      <c r="F19" s="441"/>
      <c r="G19" s="441"/>
      <c r="H19" s="441"/>
      <c r="I19" s="442"/>
    </row>
    <row r="20" spans="1:9" s="267" customFormat="1" ht="48.75" customHeight="1">
      <c r="A20" s="268"/>
      <c r="B20" s="273" t="s">
        <v>422</v>
      </c>
      <c r="C20" s="440"/>
      <c r="D20" s="441"/>
      <c r="E20" s="441"/>
      <c r="F20" s="441"/>
      <c r="G20" s="441"/>
      <c r="H20" s="441"/>
      <c r="I20" s="442"/>
    </row>
    <row r="21" spans="1:9" s="267" customFormat="1" ht="25.5" customHeight="1">
      <c r="A21" s="268"/>
      <c r="B21" s="434" t="s">
        <v>431</v>
      </c>
      <c r="C21" s="435"/>
      <c r="D21" s="435"/>
      <c r="E21" s="436"/>
      <c r="F21" s="321" t="s">
        <v>179</v>
      </c>
      <c r="G21" s="321" t="s">
        <v>176</v>
      </c>
      <c r="H21" s="230" t="s">
        <v>329</v>
      </c>
      <c r="I21" s="322" t="s">
        <v>432</v>
      </c>
    </row>
    <row r="22" spans="1:9" s="267" customFormat="1" ht="31.5" customHeight="1">
      <c r="B22" s="325"/>
      <c r="C22" s="428"/>
      <c r="D22" s="429"/>
      <c r="E22" s="430"/>
      <c r="F22" s="275"/>
      <c r="G22" s="276"/>
      <c r="H22" s="277"/>
      <c r="I22" s="219"/>
    </row>
    <row r="23" spans="1:9" s="267" customFormat="1" ht="31.5" customHeight="1">
      <c r="B23" s="274"/>
      <c r="C23" s="431"/>
      <c r="D23" s="432"/>
      <c r="E23" s="433"/>
      <c r="F23" s="275"/>
      <c r="G23" s="276"/>
      <c r="H23" s="277"/>
      <c r="I23" s="320"/>
    </row>
    <row r="24" spans="1:9" s="267" customFormat="1" ht="30.6" customHeight="1">
      <c r="A24" s="268"/>
      <c r="B24" s="434" t="s">
        <v>423</v>
      </c>
      <c r="C24" s="435"/>
      <c r="D24" s="435"/>
      <c r="E24" s="435"/>
      <c r="F24" s="435"/>
      <c r="G24" s="435"/>
      <c r="H24" s="435"/>
      <c r="I24" s="436"/>
    </row>
    <row r="25" spans="1:9" s="267" customFormat="1" ht="58.5" customHeight="1">
      <c r="A25" s="268"/>
      <c r="B25" s="273" t="s">
        <v>424</v>
      </c>
      <c r="C25" s="422" t="s">
        <v>425</v>
      </c>
      <c r="D25" s="423"/>
      <c r="E25" s="423"/>
      <c r="F25" s="423"/>
      <c r="G25" s="423"/>
      <c r="H25" s="423"/>
      <c r="I25" s="424"/>
    </row>
    <row r="26" spans="1:9" s="267" customFormat="1" ht="58.5" customHeight="1">
      <c r="A26" s="268"/>
      <c r="B26" s="273" t="s">
        <v>426</v>
      </c>
      <c r="C26" s="460" t="s">
        <v>427</v>
      </c>
      <c r="D26" s="461"/>
      <c r="E26" s="461"/>
      <c r="F26" s="461"/>
      <c r="G26" s="461"/>
      <c r="H26" s="461"/>
      <c r="I26" s="462"/>
    </row>
    <row r="27" spans="1:9" s="267" customFormat="1" ht="30.6" customHeight="1">
      <c r="A27" s="268"/>
      <c r="B27" s="273" t="s">
        <v>428</v>
      </c>
      <c r="C27" s="425"/>
      <c r="D27" s="426"/>
      <c r="E27" s="426"/>
      <c r="F27" s="426"/>
      <c r="G27" s="426"/>
      <c r="H27" s="426"/>
      <c r="I27" s="427"/>
    </row>
    <row r="28" spans="1:9" s="267" customFormat="1" ht="69.75" customHeight="1">
      <c r="A28" s="268"/>
      <c r="B28" s="464" t="s">
        <v>429</v>
      </c>
      <c r="C28" s="466" t="s">
        <v>430</v>
      </c>
      <c r="D28" s="467"/>
      <c r="E28" s="467"/>
      <c r="F28" s="468"/>
      <c r="G28" s="469" t="s">
        <v>541</v>
      </c>
      <c r="H28" s="469"/>
      <c r="I28" s="469"/>
    </row>
    <row r="29" spans="1:9" s="267" customFormat="1" ht="69.75" customHeight="1">
      <c r="A29" s="268"/>
      <c r="B29" s="465"/>
      <c r="C29" s="466" t="s">
        <v>532</v>
      </c>
      <c r="D29" s="467"/>
      <c r="E29" s="467"/>
      <c r="F29" s="468"/>
      <c r="G29" s="469" t="s">
        <v>542</v>
      </c>
      <c r="H29" s="469"/>
      <c r="I29" s="469"/>
    </row>
    <row r="30" spans="1:9" s="267" customFormat="1" ht="28.5" customHeight="1">
      <c r="A30" s="268"/>
      <c r="B30" s="463" t="s">
        <v>538</v>
      </c>
      <c r="C30" s="463"/>
      <c r="D30" s="463"/>
      <c r="E30" s="463"/>
      <c r="F30" s="463"/>
      <c r="G30" s="463"/>
      <c r="H30" s="463"/>
      <c r="I30" s="463"/>
    </row>
    <row r="31" spans="1:9" s="267" customFormat="1" ht="15" customHeight="1">
      <c r="B31" s="217" t="s">
        <v>181</v>
      </c>
      <c r="C31" s="470" t="s">
        <v>384</v>
      </c>
      <c r="D31" s="471"/>
      <c r="E31" s="217" t="s">
        <v>381</v>
      </c>
      <c r="F31" s="217" t="s">
        <v>380</v>
      </c>
      <c r="G31" s="333" t="s">
        <v>385</v>
      </c>
      <c r="H31" s="334"/>
      <c r="I31" s="335"/>
    </row>
    <row r="32" spans="1:9" s="267" customFormat="1" ht="15.75" customHeight="1">
      <c r="B32" s="221" t="s">
        <v>154</v>
      </c>
      <c r="C32" s="458" t="s">
        <v>362</v>
      </c>
      <c r="D32" s="459"/>
      <c r="E32" s="229"/>
      <c r="F32" s="256"/>
      <c r="G32" s="348" t="s">
        <v>519</v>
      </c>
      <c r="H32" s="348"/>
      <c r="I32" s="348"/>
    </row>
    <row r="33" spans="2:9" s="267" customFormat="1" ht="18.75" customHeight="1">
      <c r="B33" s="221" t="s">
        <v>154</v>
      </c>
      <c r="C33" s="458" t="s">
        <v>363</v>
      </c>
      <c r="D33" s="459"/>
      <c r="E33" s="229"/>
      <c r="F33" s="256"/>
      <c r="G33" s="348" t="s">
        <v>413</v>
      </c>
      <c r="H33" s="348"/>
      <c r="I33" s="348"/>
    </row>
    <row r="34" spans="2:9" s="267" customFormat="1" ht="15.75" customHeight="1">
      <c r="B34" s="221" t="s">
        <v>154</v>
      </c>
      <c r="C34" s="458" t="s">
        <v>364</v>
      </c>
      <c r="D34" s="459"/>
      <c r="E34" s="229"/>
      <c r="F34" s="256"/>
      <c r="G34" s="348" t="s">
        <v>412</v>
      </c>
      <c r="H34" s="348"/>
      <c r="I34" s="348"/>
    </row>
    <row r="35" spans="2:9" s="267" customFormat="1" ht="18.75" customHeight="1">
      <c r="B35" s="221" t="s">
        <v>154</v>
      </c>
      <c r="C35" s="458" t="s">
        <v>365</v>
      </c>
      <c r="D35" s="459"/>
      <c r="E35" s="229"/>
      <c r="F35" s="256"/>
      <c r="G35" s="348" t="s">
        <v>401</v>
      </c>
      <c r="H35" s="348"/>
      <c r="I35" s="348"/>
    </row>
    <row r="36" spans="2:9" s="267" customFormat="1" ht="18.75">
      <c r="B36" s="221" t="s">
        <v>156</v>
      </c>
      <c r="C36" s="458" t="s">
        <v>366</v>
      </c>
      <c r="D36" s="459"/>
      <c r="E36" s="229"/>
      <c r="F36" s="256"/>
      <c r="G36" s="348" t="s">
        <v>411</v>
      </c>
      <c r="H36" s="348"/>
      <c r="I36" s="348"/>
    </row>
    <row r="37" spans="2:9" s="267" customFormat="1" ht="18.75" customHeight="1">
      <c r="B37" s="221" t="s">
        <v>156</v>
      </c>
      <c r="C37" s="458" t="s">
        <v>367</v>
      </c>
      <c r="D37" s="459"/>
      <c r="E37" s="229"/>
      <c r="F37" s="256"/>
      <c r="G37" s="348" t="s">
        <v>410</v>
      </c>
      <c r="H37" s="348"/>
      <c r="I37" s="348"/>
    </row>
    <row r="38" spans="2:9" s="267" customFormat="1" ht="18.75">
      <c r="B38" s="221" t="s">
        <v>311</v>
      </c>
      <c r="C38" s="458" t="s">
        <v>368</v>
      </c>
      <c r="D38" s="459"/>
      <c r="E38" s="229"/>
      <c r="F38" s="256"/>
      <c r="G38" s="348" t="s">
        <v>409</v>
      </c>
      <c r="H38" s="348"/>
      <c r="I38" s="348"/>
    </row>
    <row r="39" spans="2:9" s="267" customFormat="1" ht="18.75" customHeight="1">
      <c r="B39" s="221" t="s">
        <v>326</v>
      </c>
      <c r="C39" s="458" t="s">
        <v>369</v>
      </c>
      <c r="D39" s="459"/>
      <c r="E39" s="229"/>
      <c r="F39" s="256"/>
      <c r="G39" s="348" t="s">
        <v>391</v>
      </c>
      <c r="H39" s="348"/>
      <c r="I39" s="348"/>
    </row>
    <row r="40" spans="2:9" s="267" customFormat="1" ht="18.75" customHeight="1">
      <c r="B40" s="221" t="s">
        <v>326</v>
      </c>
      <c r="C40" s="458" t="s">
        <v>370</v>
      </c>
      <c r="D40" s="459"/>
      <c r="E40" s="229"/>
      <c r="F40" s="256"/>
      <c r="G40" s="348" t="s">
        <v>304</v>
      </c>
      <c r="H40" s="348"/>
      <c r="I40" s="348"/>
    </row>
    <row r="41" spans="2:9" s="267" customFormat="1" ht="18.75" customHeight="1">
      <c r="B41" s="221" t="s">
        <v>322</v>
      </c>
      <c r="C41" s="458" t="s">
        <v>371</v>
      </c>
      <c r="D41" s="459"/>
      <c r="E41" s="229"/>
      <c r="F41" s="256"/>
      <c r="G41" s="348" t="s">
        <v>408</v>
      </c>
      <c r="H41" s="348"/>
      <c r="I41" s="348"/>
    </row>
    <row r="42" spans="2:9" s="267" customFormat="1" ht="18.75" customHeight="1">
      <c r="B42" s="221" t="s">
        <v>175</v>
      </c>
      <c r="C42" s="458" t="s">
        <v>372</v>
      </c>
      <c r="D42" s="459"/>
      <c r="E42" s="229"/>
      <c r="F42" s="256"/>
      <c r="G42" s="348" t="s">
        <v>518</v>
      </c>
      <c r="H42" s="348"/>
      <c r="I42" s="348"/>
    </row>
    <row r="43" spans="2:9" s="267" customFormat="1" ht="18.75" customHeight="1">
      <c r="B43" s="221" t="s">
        <v>175</v>
      </c>
      <c r="C43" s="458" t="s">
        <v>373</v>
      </c>
      <c r="D43" s="459"/>
      <c r="E43" s="229"/>
      <c r="F43" s="256"/>
      <c r="G43" s="348" t="s">
        <v>520</v>
      </c>
      <c r="H43" s="348"/>
      <c r="I43" s="348"/>
    </row>
    <row r="44" spans="2:9" s="267" customFormat="1" ht="18.75">
      <c r="B44" s="221" t="s">
        <v>175</v>
      </c>
      <c r="C44" s="458" t="s">
        <v>374</v>
      </c>
      <c r="D44" s="459"/>
      <c r="E44" s="229"/>
      <c r="F44" s="256"/>
      <c r="G44" s="348" t="s">
        <v>407</v>
      </c>
      <c r="H44" s="348"/>
      <c r="I44" s="348"/>
    </row>
    <row r="45" spans="2:9" s="267" customFormat="1" ht="18.75" customHeight="1">
      <c r="B45" s="221" t="s">
        <v>175</v>
      </c>
      <c r="C45" s="458" t="s">
        <v>375</v>
      </c>
      <c r="D45" s="459"/>
      <c r="E45" s="229"/>
      <c r="F45" s="256"/>
      <c r="G45" s="349" t="s">
        <v>406</v>
      </c>
      <c r="H45" s="349"/>
      <c r="I45" s="349"/>
    </row>
    <row r="46" spans="2:9" s="267" customFormat="1" ht="18.75">
      <c r="B46" s="221" t="s">
        <v>376</v>
      </c>
      <c r="C46" s="458" t="s">
        <v>377</v>
      </c>
      <c r="D46" s="459"/>
      <c r="E46" s="229"/>
      <c r="F46" s="256"/>
      <c r="G46" s="349" t="s">
        <v>387</v>
      </c>
      <c r="H46" s="349"/>
      <c r="I46" s="349"/>
    </row>
    <row r="47" spans="2:9" s="267" customFormat="1" ht="18.75">
      <c r="B47" s="221" t="s">
        <v>376</v>
      </c>
      <c r="C47" s="458" t="s">
        <v>378</v>
      </c>
      <c r="D47" s="459"/>
      <c r="E47" s="229"/>
      <c r="F47" s="256"/>
      <c r="G47" s="349" t="s">
        <v>390</v>
      </c>
      <c r="H47" s="349"/>
      <c r="I47" s="349"/>
    </row>
    <row r="48" spans="2:9" s="267" customFormat="1" ht="18.75">
      <c r="B48" s="221" t="s">
        <v>376</v>
      </c>
      <c r="C48" s="458" t="s">
        <v>379</v>
      </c>
      <c r="D48" s="459"/>
      <c r="E48" s="229"/>
      <c r="F48" s="256"/>
      <c r="G48" s="349" t="s">
        <v>388</v>
      </c>
      <c r="H48" s="349"/>
      <c r="I48" s="349"/>
    </row>
    <row r="49" spans="3:6" s="267" customFormat="1" ht="15.75">
      <c r="C49" s="472" t="s">
        <v>142</v>
      </c>
      <c r="D49" s="473"/>
      <c r="E49" s="255">
        <f>COUNT(E32:E48)</f>
        <v>0</v>
      </c>
      <c r="F49" s="326">
        <f>SUM(F32:F48)</f>
        <v>0</v>
      </c>
    </row>
    <row r="50" spans="3:6" s="267" customFormat="1"/>
    <row r="51" spans="3:6" s="267" customFormat="1"/>
    <row r="52" spans="3:6" s="267" customFormat="1"/>
    <row r="53" spans="3:6" s="267" customFormat="1"/>
    <row r="54" spans="3:6" s="267" customFormat="1"/>
    <row r="55" spans="3:6" s="267" customFormat="1"/>
    <row r="56" spans="3:6" s="267" customFormat="1"/>
    <row r="57" spans="3:6" s="267" customFormat="1"/>
    <row r="58" spans="3:6" s="267" customFormat="1"/>
    <row r="59" spans="3:6" s="267" customFormat="1"/>
    <row r="60" spans="3:6" s="267" customFormat="1"/>
    <row r="61" spans="3:6" s="267" customFormat="1"/>
    <row r="62" spans="3:6" s="267" customFormat="1"/>
    <row r="63" spans="3:6" s="267" customFormat="1"/>
    <row r="64" spans="3:6" s="267" customFormat="1"/>
    <row r="65" s="267" customFormat="1"/>
    <row r="66" s="267" customFormat="1"/>
    <row r="67" s="267" customFormat="1"/>
    <row r="68" s="267" customFormat="1"/>
    <row r="69" s="267" customFormat="1"/>
    <row r="70" s="267" customFormat="1"/>
    <row r="71" s="267" customFormat="1"/>
    <row r="72" s="267" customFormat="1"/>
    <row r="73" s="267" customFormat="1"/>
    <row r="74" s="267" customFormat="1"/>
    <row r="75" s="267" customFormat="1"/>
    <row r="76" s="267" customFormat="1"/>
    <row r="77" s="267" customFormat="1"/>
    <row r="78" s="267" customFormat="1"/>
    <row r="79" s="267" customFormat="1"/>
    <row r="80" s="267" customFormat="1"/>
    <row r="81" s="267" customFormat="1"/>
    <row r="82" s="267" customFormat="1"/>
    <row r="83" s="267" customFormat="1"/>
    <row r="84" s="267" customFormat="1"/>
    <row r="85" s="267" customFormat="1"/>
    <row r="86" s="267" customFormat="1"/>
    <row r="87" s="267" customFormat="1"/>
    <row r="88" s="267" customFormat="1"/>
    <row r="89" s="267" customFormat="1"/>
    <row r="90" s="267" customFormat="1"/>
    <row r="91" s="267" customFormat="1"/>
    <row r="92" s="267" customFormat="1"/>
    <row r="93" s="267" customFormat="1"/>
    <row r="94" s="267" customFormat="1"/>
    <row r="95" s="267" customFormat="1"/>
    <row r="96" s="267" customFormat="1"/>
    <row r="97" s="267" customFormat="1"/>
    <row r="98" s="267" customFormat="1"/>
    <row r="99" s="267" customFormat="1"/>
    <row r="100" s="267" customFormat="1"/>
    <row r="101" s="267" customFormat="1"/>
    <row r="102" s="267" customFormat="1"/>
    <row r="103" s="267" customFormat="1"/>
    <row r="104" s="267" customFormat="1"/>
    <row r="105" s="267" customFormat="1"/>
    <row r="106" s="267" customFormat="1"/>
    <row r="107" s="267" customFormat="1"/>
    <row r="108" s="267" customFormat="1"/>
    <row r="109" s="267" customFormat="1"/>
    <row r="110" s="267" customFormat="1"/>
    <row r="111" s="267" customFormat="1"/>
    <row r="112" s="267" customFormat="1"/>
    <row r="113" s="267" customFormat="1"/>
    <row r="114" s="267" customFormat="1"/>
    <row r="115" s="267" customFormat="1"/>
    <row r="116" s="267" customFormat="1"/>
    <row r="117" s="267" customFormat="1"/>
    <row r="118" s="267" customFormat="1"/>
    <row r="119" s="267" customFormat="1"/>
    <row r="120" s="267" customFormat="1"/>
    <row r="121" s="267" customFormat="1"/>
    <row r="122" s="267" customFormat="1"/>
    <row r="123" s="267" customFormat="1"/>
    <row r="124" s="267" customFormat="1"/>
    <row r="125" s="267" customFormat="1"/>
    <row r="126" s="267" customFormat="1"/>
    <row r="127" s="267" customFormat="1"/>
    <row r="128" s="267" customFormat="1"/>
    <row r="129" s="267" customFormat="1"/>
    <row r="130" s="267" customFormat="1"/>
    <row r="131" s="267" customFormat="1"/>
    <row r="132" s="267" customFormat="1"/>
    <row r="133" s="267" customFormat="1"/>
    <row r="134" s="267" customFormat="1"/>
    <row r="135" s="267" customFormat="1"/>
    <row r="136" s="267" customFormat="1"/>
    <row r="137" s="267" customFormat="1"/>
    <row r="138" s="267" customFormat="1"/>
    <row r="139" s="267" customFormat="1"/>
    <row r="140" s="267" customFormat="1"/>
    <row r="141" s="267" customFormat="1"/>
    <row r="142" s="267" customFormat="1"/>
    <row r="143" s="267" customFormat="1"/>
    <row r="144" s="267" customFormat="1"/>
    <row r="145" s="267" customFormat="1"/>
    <row r="146" s="267" customFormat="1"/>
    <row r="147" s="267" customFormat="1"/>
    <row r="148" s="267" customFormat="1"/>
    <row r="149" s="267" customFormat="1"/>
    <row r="150" s="267" customFormat="1"/>
    <row r="151" s="267" customFormat="1"/>
    <row r="152" s="267" customFormat="1"/>
    <row r="153" s="267" customFormat="1"/>
    <row r="154" s="267" customFormat="1"/>
    <row r="155" s="267" customFormat="1"/>
    <row r="156" s="267" customFormat="1"/>
    <row r="157" s="267" customFormat="1"/>
    <row r="158" s="267" customFormat="1"/>
    <row r="159" s="267" customFormat="1"/>
    <row r="160" s="267" customFormat="1"/>
    <row r="161" s="267" customFormat="1"/>
    <row r="162" s="267" customFormat="1"/>
    <row r="163" s="267" customFormat="1"/>
    <row r="164" s="267" customFormat="1"/>
    <row r="165" s="267" customFormat="1"/>
    <row r="166" s="267" customFormat="1"/>
    <row r="167" s="267" customFormat="1"/>
    <row r="168" s="267" customFormat="1"/>
    <row r="169" s="267" customFormat="1"/>
    <row r="170" s="267" customFormat="1"/>
    <row r="171" s="267" customFormat="1"/>
    <row r="172" s="267" customFormat="1"/>
    <row r="173" s="267" customFormat="1"/>
    <row r="174" s="267" customFormat="1"/>
    <row r="175" s="267" customFormat="1"/>
    <row r="176" s="267" customFormat="1"/>
    <row r="177" s="267" customFormat="1"/>
    <row r="178" s="267" customFormat="1"/>
    <row r="179" s="267" customFormat="1"/>
    <row r="180" s="267" customFormat="1"/>
    <row r="181" s="267" customFormat="1"/>
    <row r="182" s="267" customFormat="1"/>
    <row r="183" s="267" customFormat="1"/>
    <row r="184" s="267" customFormat="1"/>
    <row r="185" s="267" customFormat="1"/>
    <row r="186" s="267" customFormat="1"/>
    <row r="187" s="267" customFormat="1"/>
    <row r="188" s="267" customFormat="1"/>
    <row r="189" s="267" customFormat="1"/>
    <row r="190" s="267" customFormat="1"/>
    <row r="191" s="267" customFormat="1"/>
    <row r="192" s="267" customFormat="1"/>
    <row r="193" s="267" customFormat="1"/>
    <row r="194" s="267" customFormat="1"/>
    <row r="195" s="267" customFormat="1"/>
    <row r="196" s="267" customFormat="1"/>
    <row r="197" s="267" customFormat="1"/>
    <row r="198" s="267" customFormat="1"/>
    <row r="199" s="267" customFormat="1"/>
    <row r="200" s="267" customFormat="1"/>
    <row r="201" s="267" customFormat="1"/>
    <row r="202" s="267" customFormat="1"/>
    <row r="203" s="267" customFormat="1"/>
    <row r="204" s="267" customFormat="1"/>
    <row r="205" s="267" customFormat="1"/>
    <row r="206" s="267" customFormat="1"/>
    <row r="207" s="267" customFormat="1"/>
    <row r="208" s="267" customFormat="1"/>
    <row r="209" s="267" customFormat="1"/>
    <row r="210" s="267" customFormat="1"/>
    <row r="211" s="267" customFormat="1"/>
    <row r="212" s="267" customFormat="1"/>
    <row r="213" s="267" customFormat="1"/>
    <row r="214" s="267" customFormat="1"/>
    <row r="215" s="267" customFormat="1"/>
    <row r="216" s="267" customFormat="1"/>
    <row r="217" s="267" customFormat="1"/>
    <row r="218" s="267" customFormat="1"/>
    <row r="219" s="267" customFormat="1"/>
    <row r="220" s="267" customFormat="1"/>
    <row r="221" s="267" customFormat="1"/>
    <row r="222" s="267" customFormat="1"/>
    <row r="223" s="267" customFormat="1"/>
    <row r="224" s="267" customFormat="1"/>
    <row r="225" s="267" customFormat="1"/>
    <row r="226" s="267" customFormat="1"/>
    <row r="227" s="267" customFormat="1"/>
    <row r="228" s="267" customFormat="1"/>
    <row r="229" s="267" customFormat="1"/>
    <row r="230" s="267" customFormat="1"/>
    <row r="231" s="267" customFormat="1"/>
    <row r="232" s="267" customFormat="1"/>
    <row r="233" s="267" customFormat="1"/>
    <row r="234" s="267" customFormat="1"/>
    <row r="235" s="267" customFormat="1"/>
    <row r="236" s="267" customFormat="1"/>
    <row r="237" s="267" customFormat="1"/>
    <row r="238" s="267" customFormat="1"/>
    <row r="239" s="267" customFormat="1"/>
    <row r="240" s="267" customFormat="1"/>
    <row r="241" s="267" customFormat="1"/>
    <row r="242" s="267" customFormat="1"/>
    <row r="243" s="267" customFormat="1"/>
    <row r="244" s="267" customFormat="1"/>
    <row r="245" s="267" customFormat="1"/>
    <row r="246" s="267" customFormat="1"/>
    <row r="247" s="267" customFormat="1"/>
    <row r="248" s="267" customFormat="1"/>
    <row r="249" s="267" customFormat="1"/>
    <row r="250" s="267" customFormat="1"/>
    <row r="251" s="267" customFormat="1"/>
    <row r="252" s="267" customFormat="1"/>
    <row r="253" s="267" customFormat="1"/>
    <row r="254" s="267" customFormat="1"/>
    <row r="255" s="267" customFormat="1"/>
    <row r="256" s="267" customFormat="1"/>
    <row r="257" s="267" customFormat="1"/>
    <row r="258" s="267" customFormat="1"/>
    <row r="259" s="267" customFormat="1"/>
    <row r="260" s="267" customFormat="1"/>
    <row r="261" s="267" customFormat="1"/>
    <row r="262" s="267" customFormat="1"/>
    <row r="263" s="267" customFormat="1"/>
    <row r="264" s="267" customFormat="1"/>
    <row r="265" s="267" customFormat="1"/>
    <row r="266" s="267" customFormat="1"/>
    <row r="267" s="267" customFormat="1"/>
    <row r="268" s="267" customFormat="1"/>
    <row r="269" s="267" customFormat="1"/>
    <row r="270" s="267" customFormat="1"/>
    <row r="271" s="267" customFormat="1"/>
    <row r="272" s="267" customFormat="1"/>
    <row r="273" spans="2:6" s="267" customFormat="1"/>
    <row r="274" spans="2:6" s="267" customFormat="1"/>
    <row r="275" spans="2:6" s="267" customFormat="1"/>
    <row r="276" spans="2:6" s="267" customFormat="1"/>
    <row r="277" spans="2:6" s="267" customFormat="1"/>
    <row r="278" spans="2:6" s="267" customFormat="1"/>
    <row r="279" spans="2:6" s="267" customFormat="1"/>
    <row r="280" spans="2:6" s="267" customFormat="1">
      <c r="C280" s="141"/>
      <c r="D280" s="141"/>
    </row>
    <row r="281" spans="2:6" s="267" customFormat="1">
      <c r="C281" s="141"/>
      <c r="D281" s="141"/>
    </row>
    <row r="282" spans="2:6" s="267" customFormat="1">
      <c r="C282" s="141"/>
      <c r="D282" s="141"/>
    </row>
    <row r="283" spans="2:6" s="267" customFormat="1">
      <c r="C283" s="141"/>
      <c r="D283" s="141"/>
    </row>
    <row r="284" spans="2:6" s="267" customFormat="1">
      <c r="B284" s="141"/>
      <c r="C284" s="141"/>
      <c r="D284" s="141"/>
      <c r="E284" s="141"/>
      <c r="F284" s="141"/>
    </row>
    <row r="285" spans="2:6" s="267" customFormat="1">
      <c r="B285" s="141"/>
      <c r="C285" s="141"/>
      <c r="D285" s="141"/>
      <c r="E285" s="141"/>
      <c r="F285" s="141"/>
    </row>
    <row r="286" spans="2:6" s="267" customFormat="1">
      <c r="B286" s="141"/>
      <c r="C286" s="141"/>
      <c r="D286" s="141"/>
      <c r="E286" s="141"/>
      <c r="F286" s="141"/>
    </row>
    <row r="287" spans="2:6" s="267" customFormat="1">
      <c r="B287" s="141"/>
      <c r="C287" s="141"/>
      <c r="D287" s="141"/>
      <c r="E287" s="141"/>
      <c r="F287" s="141"/>
    </row>
    <row r="288" spans="2:6" s="267" customFormat="1">
      <c r="B288" s="141"/>
      <c r="C288" s="141"/>
      <c r="D288" s="141"/>
      <c r="E288" s="141"/>
      <c r="F288" s="141"/>
    </row>
    <row r="289" spans="2:6" s="267" customFormat="1">
      <c r="B289" s="141"/>
      <c r="C289" s="141"/>
      <c r="D289" s="141"/>
      <c r="E289" s="141"/>
      <c r="F289" s="141"/>
    </row>
    <row r="290" spans="2:6" s="267" customFormat="1">
      <c r="B290" s="141"/>
      <c r="C290" s="141"/>
      <c r="D290" s="141"/>
      <c r="E290" s="141"/>
      <c r="F290" s="141"/>
    </row>
    <row r="291" spans="2:6" s="267" customFormat="1">
      <c r="B291" s="141"/>
      <c r="C291" s="141"/>
      <c r="D291" s="141"/>
      <c r="E291" s="141"/>
      <c r="F291" s="141"/>
    </row>
    <row r="292" spans="2:6" s="267" customFormat="1">
      <c r="B292" s="141"/>
      <c r="C292" s="141"/>
      <c r="D292" s="141"/>
      <c r="E292" s="141"/>
      <c r="F292" s="141"/>
    </row>
    <row r="293" spans="2:6" s="267" customFormat="1">
      <c r="B293" s="141"/>
      <c r="C293" s="141"/>
      <c r="D293" s="141"/>
      <c r="E293" s="141"/>
      <c r="F293" s="141"/>
    </row>
    <row r="294" spans="2:6" s="267" customFormat="1">
      <c r="B294" s="141"/>
      <c r="C294" s="141"/>
      <c r="D294" s="141"/>
      <c r="E294" s="141"/>
      <c r="F294" s="141"/>
    </row>
    <row r="295" spans="2:6" s="267" customFormat="1">
      <c r="B295" s="141"/>
      <c r="C295" s="141"/>
      <c r="D295" s="141"/>
      <c r="E295" s="141"/>
      <c r="F295" s="141"/>
    </row>
  </sheetData>
  <mergeCells count="70">
    <mergeCell ref="C49:D49"/>
    <mergeCell ref="B1:I1"/>
    <mergeCell ref="G31:I31"/>
    <mergeCell ref="G32:I32"/>
    <mergeCell ref="G33:I33"/>
    <mergeCell ref="G34:I34"/>
    <mergeCell ref="C7:I7"/>
    <mergeCell ref="C6:I6"/>
    <mergeCell ref="C5:I5"/>
    <mergeCell ref="C2:G2"/>
    <mergeCell ref="C4:G4"/>
    <mergeCell ref="C3:G3"/>
    <mergeCell ref="H2:I2"/>
    <mergeCell ref="H3:I3"/>
    <mergeCell ref="H4:I4"/>
    <mergeCell ref="B21:E21"/>
    <mergeCell ref="G48:I48"/>
    <mergeCell ref="C48:D48"/>
    <mergeCell ref="G39:I39"/>
    <mergeCell ref="G40:I40"/>
    <mergeCell ref="G41:I41"/>
    <mergeCell ref="G42:I42"/>
    <mergeCell ref="G43:I43"/>
    <mergeCell ref="G44:I44"/>
    <mergeCell ref="G45:I45"/>
    <mergeCell ref="C45:D45"/>
    <mergeCell ref="C40:D40"/>
    <mergeCell ref="C41:D41"/>
    <mergeCell ref="C35:D35"/>
    <mergeCell ref="C36:D36"/>
    <mergeCell ref="C37:D37"/>
    <mergeCell ref="C38:D38"/>
    <mergeCell ref="C39:D39"/>
    <mergeCell ref="C26:I26"/>
    <mergeCell ref="G35:I35"/>
    <mergeCell ref="G36:I36"/>
    <mergeCell ref="G37:I37"/>
    <mergeCell ref="G38:I38"/>
    <mergeCell ref="B30:I30"/>
    <mergeCell ref="C27:I27"/>
    <mergeCell ref="B28:B29"/>
    <mergeCell ref="C28:F28"/>
    <mergeCell ref="C29:F29"/>
    <mergeCell ref="G29:I29"/>
    <mergeCell ref="G28:I28"/>
    <mergeCell ref="C31:D31"/>
    <mergeCell ref="C32:D32"/>
    <mergeCell ref="C33:D33"/>
    <mergeCell ref="C34:D34"/>
    <mergeCell ref="G46:I46"/>
    <mergeCell ref="G47:I47"/>
    <mergeCell ref="C42:D42"/>
    <mergeCell ref="C43:D43"/>
    <mergeCell ref="C44:D44"/>
    <mergeCell ref="C46:D46"/>
    <mergeCell ref="C47:D47"/>
    <mergeCell ref="B10:I10"/>
    <mergeCell ref="C8:I8"/>
    <mergeCell ref="C19:I19"/>
    <mergeCell ref="C20:I20"/>
    <mergeCell ref="B16:I18"/>
    <mergeCell ref="B15:I15"/>
    <mergeCell ref="B14:I14"/>
    <mergeCell ref="C13:I13"/>
    <mergeCell ref="C12:I12"/>
    <mergeCell ref="C25:I25"/>
    <mergeCell ref="C11:I11"/>
    <mergeCell ref="C22:E22"/>
    <mergeCell ref="C23:E23"/>
    <mergeCell ref="B24:I24"/>
  </mergeCells>
  <conditionalFormatting sqref="I22:I23">
    <cfRule type="cellIs" dxfId="33" priority="25" operator="equal">
      <formula>"LOST"</formula>
    </cfRule>
    <cfRule type="cellIs" dxfId="32" priority="26" operator="equal">
      <formula>"WIP"</formula>
    </cfRule>
    <cfRule type="cellIs" dxfId="31" priority="27" operator="equal">
      <formula>"DONE"</formula>
    </cfRule>
    <cfRule type="cellIs" dxfId="30" priority="28" operator="equal">
      <formula>"TODO"</formula>
    </cfRule>
    <cfRule type="cellIs" dxfId="29" priority="29" operator="equal">
      <formula>"new"</formula>
    </cfRule>
  </conditionalFormatting>
  <conditionalFormatting sqref="H4">
    <cfRule type="cellIs" dxfId="28" priority="21" operator="between">
      <formula>0.81</formula>
      <formula>1</formula>
    </cfRule>
    <cfRule type="cellIs" dxfId="27" priority="22" operator="between">
      <formula>0.51</formula>
      <formula>0.8</formula>
    </cfRule>
    <cfRule type="cellIs" dxfId="26" priority="23" operator="between">
      <formula>0.31</formula>
      <formula>0.5</formula>
    </cfRule>
    <cfRule type="cellIs" dxfId="25" priority="24" operator="between">
      <formula>0</formula>
      <formula>0.3</formula>
    </cfRule>
  </conditionalFormatting>
  <conditionalFormatting sqref="C26">
    <cfRule type="cellIs" dxfId="24" priority="9" operator="between">
      <formula>0.81</formula>
      <formula>1</formula>
    </cfRule>
    <cfRule type="cellIs" dxfId="23" priority="10" operator="between">
      <formula>0.51</formula>
      <formula>0.8</formula>
    </cfRule>
    <cfRule type="cellIs" dxfId="22" priority="11" operator="between">
      <formula>0.31</formula>
      <formula>0.5</formula>
    </cfRule>
    <cfRule type="cellIs" dxfId="21" priority="12" operator="between">
      <formula>0</formula>
      <formula>0.3</formula>
    </cfRule>
  </conditionalFormatting>
  <hyperlinks>
    <hyperlink ref="G29" r:id="rId96" display="month/year- Product number"/>
    <hyperlink ref="G28" r:id="rId97" display="Baseline 1 - product number"/>
    <hyperlink ref="C26" r:id="rId3" location="community:213/post:140382"/>
    <hyperlink ref="H3" r:id="rId98" display="P-0002072"/>
  </hyperlinks>
  <printOptions horizontalCentered="1" verticalCentered="1"/>
  <pageMargins left="0.7" right="0.7" top="0.75" bottom="0.75" header="0.3" footer="0.3"/>
  <pageSetup paperSize="9" scale="58" fitToHeight="0" orientation="portrait" r:id="rId5"/>
  <drawing r:id="rId6"/>
  <legacyDrawing r:id="rId7"/>
  <extLst>
    <ext uri="{CCE6A557-97BC-4b89-ADB6-D9C93CAAB3DF}">
      <x14:dataValidations xmlns:xm="http://schemas.microsoft.com/office/excel/2006/main" count="3">
        <x14:dataValidation type="list" allowBlank="1" showInputMessage="1" showErrorMessage="1">
          <x14:formula1>
            <xm:f>'Control Data'!$O$3:$O$5</xm:f>
          </x14:formula1>
          <xm:sqref>G22:G23</xm:sqref>
        </x14:dataValidation>
        <x14:dataValidation type="list" allowBlank="1" showInputMessage="1" showErrorMessage="1">
          <x14:formula1>
            <xm:f>'Control Data'!$N$3:$N$7</xm:f>
          </x14:formula1>
          <xm:sqref>I22:I23</xm:sqref>
        </x14:dataValidation>
        <x14:dataValidation type="list" allowBlank="1" showInputMessage="1" showErrorMessage="1">
          <x14:formula1>
            <xm:f>'Control Data'!$S$3:$S$4</xm:f>
          </x14:formula1>
          <xm:sqref>E32:E48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S28"/>
  <sheetViews>
    <sheetView showGridLines="0" workbookViewId="0">
      <selection activeCell="Q25" sqref="Q25"/>
    </sheetView>
  </sheetViews>
  <sheetFormatPr defaultRowHeight="15"/>
  <cols>
    <col min="3" max="3" customWidth="true" width="3.5703125" collapsed="true"/>
    <col min="6" max="6" customWidth="true" width="2.42578125" collapsed="true"/>
    <col min="7" max="7" customWidth="true" width="18.85546875" collapsed="true"/>
    <col min="8" max="8" customWidth="true" width="2.0" collapsed="true"/>
    <col min="10" max="10" customWidth="true" width="9.7109375" collapsed="true"/>
    <col min="11" max="11" customWidth="true" style="138" width="3.0" collapsed="true"/>
    <col min="12" max="12" customWidth="true" width="29.5703125" collapsed="true"/>
    <col min="13" max="13" customWidth="true" width="3.85546875" collapsed="true"/>
    <col min="16" max="16" customWidth="true" width="3.7109375" collapsed="true"/>
    <col min="17" max="17" customWidth="true" width="24.42578125" collapsed="true"/>
    <col min="18" max="18" customWidth="true" width="3.85546875" collapsed="true"/>
    <col min="19" max="19" customWidth="true" width="22.140625" collapsed="true"/>
  </cols>
  <sheetData>
    <row r="1" spans="1:19">
      <c r="G1" s="139"/>
    </row>
    <row r="2" spans="1:19" ht="54">
      <c r="A2" s="139" t="s">
        <v>318</v>
      </c>
      <c r="B2" s="139" t="s">
        <v>313</v>
      </c>
      <c r="C2" s="139"/>
      <c r="D2" s="490" t="s">
        <v>319</v>
      </c>
      <c r="E2" s="490"/>
      <c r="G2" s="247" t="s">
        <v>315</v>
      </c>
      <c r="I2" s="248" t="s">
        <v>313</v>
      </c>
      <c r="J2" s="249" t="s">
        <v>317</v>
      </c>
      <c r="L2" s="247" t="s">
        <v>321</v>
      </c>
      <c r="N2" s="16" t="s">
        <v>330</v>
      </c>
      <c r="O2" s="16" t="s">
        <v>176</v>
      </c>
      <c r="Q2" s="176" t="s">
        <v>402</v>
      </c>
      <c r="S2" s="176" t="s">
        <v>381</v>
      </c>
    </row>
    <row r="3" spans="1:19" ht="15.75">
      <c r="A3" s="140">
        <v>0.6</v>
      </c>
      <c r="B3" s="140" t="s">
        <v>161</v>
      </c>
      <c r="C3" s="140"/>
      <c r="D3" s="246">
        <v>1.6</v>
      </c>
      <c r="E3" s="246" t="str">
        <f>VLOOKUP(D3,Grade_Scale,2,TRUE)</f>
        <v>D</v>
      </c>
      <c r="F3" s="235"/>
      <c r="G3" s="238" t="s">
        <v>156</v>
      </c>
      <c r="H3" s="235"/>
      <c r="I3" s="240" t="s">
        <v>158</v>
      </c>
      <c r="J3" s="241">
        <v>4</v>
      </c>
      <c r="K3" s="236"/>
      <c r="L3" s="238" t="s">
        <v>325</v>
      </c>
      <c r="M3" s="235"/>
      <c r="N3" s="145" t="s">
        <v>332</v>
      </c>
      <c r="O3" s="146" t="s">
        <v>331</v>
      </c>
      <c r="P3" s="235"/>
      <c r="Q3" s="246">
        <v>0</v>
      </c>
      <c r="R3" s="235"/>
      <c r="S3" s="246" t="s">
        <v>382</v>
      </c>
    </row>
    <row r="4" spans="1:19" ht="15.75">
      <c r="A4" s="140">
        <v>1.7</v>
      </c>
      <c r="B4" s="140" t="s">
        <v>160</v>
      </c>
      <c r="C4" s="140"/>
      <c r="D4" s="246">
        <v>1.7</v>
      </c>
      <c r="E4" s="246" t="str">
        <f>VLOOKUP(D4,Grade_Scale,2,TRUE)</f>
        <v>C</v>
      </c>
      <c r="F4" s="235"/>
      <c r="G4" s="238" t="s">
        <v>175</v>
      </c>
      <c r="H4" s="235"/>
      <c r="I4" s="242" t="s">
        <v>159</v>
      </c>
      <c r="J4" s="241">
        <v>3</v>
      </c>
      <c r="K4" s="236"/>
      <c r="L4" s="238" t="s">
        <v>312</v>
      </c>
      <c r="M4" s="235"/>
      <c r="N4" s="147" t="s">
        <v>333</v>
      </c>
      <c r="O4" s="146" t="s">
        <v>334</v>
      </c>
      <c r="P4" s="235"/>
      <c r="Q4" s="246">
        <v>1</v>
      </c>
      <c r="R4" s="235"/>
      <c r="S4" s="246" t="s">
        <v>383</v>
      </c>
    </row>
    <row r="5" spans="1:19" ht="15.75">
      <c r="A5" s="140">
        <v>2.7</v>
      </c>
      <c r="B5" s="140" t="s">
        <v>159</v>
      </c>
      <c r="C5" s="140"/>
      <c r="D5" s="246">
        <v>1.71</v>
      </c>
      <c r="E5" s="246" t="str">
        <f>VLOOKUP(D5,Grade_Scale,2,TRUE)</f>
        <v>C</v>
      </c>
      <c r="F5" s="235"/>
      <c r="G5" s="238" t="s">
        <v>326</v>
      </c>
      <c r="H5" s="235"/>
      <c r="I5" s="243" t="s">
        <v>160</v>
      </c>
      <c r="J5" s="241">
        <v>2</v>
      </c>
      <c r="K5" s="236"/>
      <c r="L5" s="238" t="s">
        <v>314</v>
      </c>
      <c r="M5" s="235"/>
      <c r="N5" s="148" t="s">
        <v>335</v>
      </c>
      <c r="O5" s="146" t="s">
        <v>336</v>
      </c>
      <c r="P5" s="235"/>
      <c r="Q5" s="246" t="s">
        <v>358</v>
      </c>
      <c r="R5" s="235"/>
      <c r="S5" s="235"/>
    </row>
    <row r="6" spans="1:19" ht="15.75">
      <c r="A6" s="140">
        <v>3.7</v>
      </c>
      <c r="B6" s="140" t="s">
        <v>158</v>
      </c>
      <c r="C6" s="140"/>
      <c r="D6" s="246">
        <v>2.6</v>
      </c>
      <c r="E6" s="246" t="str">
        <f>VLOOKUP(D6,Grade_Scale,2,TRUE)</f>
        <v>C</v>
      </c>
      <c r="F6" s="235"/>
      <c r="G6" s="238" t="s">
        <v>322</v>
      </c>
      <c r="H6" s="235"/>
      <c r="I6" s="244" t="s">
        <v>161</v>
      </c>
      <c r="J6" s="245">
        <v>1</v>
      </c>
      <c r="K6" s="236"/>
      <c r="L6" s="238" t="s">
        <v>309</v>
      </c>
      <c r="M6" s="235"/>
      <c r="N6" s="149" t="s">
        <v>337</v>
      </c>
      <c r="O6" s="235"/>
      <c r="P6" s="235"/>
      <c r="Q6" s="235"/>
      <c r="R6" s="235"/>
      <c r="S6" s="235"/>
    </row>
    <row r="7" spans="1:19" ht="15.75">
      <c r="D7" s="235"/>
      <c r="E7" s="235"/>
      <c r="F7" s="235"/>
      <c r="G7" s="238" t="s">
        <v>155</v>
      </c>
      <c r="H7" s="235"/>
      <c r="I7" s="282" t="s">
        <v>439</v>
      </c>
      <c r="J7" s="245"/>
      <c r="K7" s="236"/>
      <c r="L7" s="238" t="s">
        <v>323</v>
      </c>
      <c r="M7" s="235"/>
      <c r="N7" s="150" t="s">
        <v>338</v>
      </c>
      <c r="O7" s="235"/>
      <c r="P7" s="235"/>
      <c r="Q7" s="235"/>
      <c r="R7" s="235"/>
      <c r="S7" s="235"/>
    </row>
    <row r="8" spans="1:19" ht="15.75">
      <c r="D8" s="235"/>
      <c r="E8" s="235"/>
      <c r="F8" s="235"/>
      <c r="G8" s="238" t="s">
        <v>154</v>
      </c>
      <c r="H8" s="235"/>
      <c r="I8" s="235"/>
      <c r="J8" s="235"/>
      <c r="K8" s="236"/>
      <c r="L8" s="238" t="s">
        <v>310</v>
      </c>
      <c r="M8" s="235"/>
      <c r="N8" s="235"/>
      <c r="O8" s="235"/>
      <c r="P8" s="235"/>
      <c r="Q8" s="235"/>
      <c r="R8" s="235"/>
      <c r="S8" s="235"/>
    </row>
    <row r="9" spans="1:19" ht="15.75">
      <c r="D9" s="235"/>
      <c r="E9" s="235"/>
      <c r="F9" s="235"/>
      <c r="G9" s="239" t="s">
        <v>311</v>
      </c>
      <c r="H9" s="235"/>
      <c r="I9" s="235"/>
      <c r="J9" s="235"/>
      <c r="K9" s="236"/>
      <c r="L9" s="238" t="s">
        <v>311</v>
      </c>
      <c r="M9" s="235"/>
      <c r="N9" s="235"/>
      <c r="O9" s="235"/>
      <c r="P9" s="235"/>
      <c r="Q9" s="235"/>
      <c r="R9" s="235"/>
      <c r="S9" s="235"/>
    </row>
    <row r="10" spans="1:19" ht="15.75">
      <c r="D10" s="235"/>
      <c r="E10" s="235"/>
      <c r="F10" s="235"/>
      <c r="G10" s="237"/>
      <c r="H10" s="235"/>
      <c r="I10" s="235"/>
      <c r="J10" s="235"/>
      <c r="K10" s="236"/>
      <c r="L10" s="239" t="s">
        <v>324</v>
      </c>
      <c r="M10" s="235"/>
      <c r="N10" s="235"/>
      <c r="O10" s="235"/>
      <c r="P10" s="235"/>
      <c r="Q10" s="235"/>
      <c r="R10" s="235"/>
      <c r="S10" s="235"/>
    </row>
    <row r="11" spans="1:19">
      <c r="D11" s="235"/>
      <c r="E11" s="235"/>
      <c r="F11" s="235"/>
      <c r="G11" s="237"/>
      <c r="H11" s="235"/>
      <c r="I11" s="235"/>
      <c r="J11" s="235"/>
      <c r="K11" s="236"/>
      <c r="L11" s="235"/>
      <c r="M11" s="235"/>
      <c r="N11" s="235"/>
      <c r="O11" s="235"/>
      <c r="P11" s="235"/>
      <c r="Q11" s="235"/>
      <c r="R11" s="235"/>
      <c r="S11" s="235"/>
    </row>
    <row r="12" spans="1:19">
      <c r="G12" s="139"/>
      <c r="I12" s="139"/>
    </row>
    <row r="20" spans="7:7">
      <c r="G20" s="141"/>
    </row>
    <row r="21" spans="7:7">
      <c r="G21" s="141"/>
    </row>
    <row r="22" spans="7:7">
      <c r="G22" s="141"/>
    </row>
    <row r="23" spans="7:7">
      <c r="G23" s="141"/>
    </row>
    <row r="24" spans="7:7">
      <c r="G24" s="141"/>
    </row>
    <row r="25" spans="7:7">
      <c r="G25" s="141"/>
    </row>
    <row r="26" spans="7:7">
      <c r="G26" s="141"/>
    </row>
    <row r="27" spans="7:7">
      <c r="G27" s="141"/>
    </row>
    <row r="28" spans="7:7">
      <c r="G28" s="141"/>
    </row>
  </sheetData>
  <mergeCells count="1">
    <mergeCell ref="D2:E2"/>
  </mergeCells>
  <pageMargins left="0.7" right="0.7" top="0.75" bottom="0.75" header="0.3" footer="0.3"/>
  <legacyDrawing r:id="rId1"/>
  <tableParts count="4">
    <tablePart r:id="rId2"/>
    <tablePart r:id="rId3"/>
    <tablePart r:id="rId4"/>
    <tablePart r:id="rId5"/>
  </tableParts>
</worksheet>
</file>

<file path=customXml/_rels/item1.xml.rels><?xml version="1.0" encoding="UTF-8"?>

<Relationships xmlns="http://schemas.openxmlformats.org/package/2006/relationships">
  <Relationship Id="rId1" Type="http://schemas.openxmlformats.org/officeDocument/2006/relationships/customXmlProps" Target="itemProps1.xml"/>
</Relationships>

</file>

<file path=customXml/_rels/item2.xml.rels><?xml version="1.0" encoding="UTF-8"?>

<Relationships xmlns="http://schemas.openxmlformats.org/package/2006/relationships">
  <Relationship Id="rId1" Type="http://schemas.openxmlformats.org/officeDocument/2006/relationships/customXmlProps" Target="itemProps2.xml"/>
</Relationships>

</file>

<file path=customXml/_rels/item3.xml.rels><?xml version="1.0" encoding="UTF-8"?>

<Relationships xmlns="http://schemas.openxmlformats.org/package/2006/relationships">
  <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documentManagement>
    <Mandatory_x0020_for_x0020_ORB xmlns="9a5820fe-c94f-47a2-ab80-3b28a2936dca">true</Mandatory_x0020_for_x0020_ORB>
    <To_x0020_be_x0020_completed_x0020_by xmlns="9a5820fe-c94f-47a2-ab80-3b28a2936dca" xsi:nil="true"/>
    <Document_x0020_Description xmlns="9a5820fe-c94f-47a2-ab80-3b28a2936dca"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C6BDAF9A8C17842A0884F2D9BA3DB0F" ma:contentTypeVersion="3" ma:contentTypeDescription="Create a new document." ma:contentTypeScope="" ma:versionID="053d4854152fc01af5722aa33aeb5b79">
  <xsd:schema xmlns:xsd="http://www.w3.org/2001/XMLSchema" xmlns:xs="http://www.w3.org/2001/XMLSchema" xmlns:p="http://schemas.microsoft.com/office/2006/metadata/properties" xmlns:ns2="9a5820fe-c94f-47a2-ab80-3b28a2936dca" targetNamespace="http://schemas.microsoft.com/office/2006/metadata/properties" ma:root="true" ma:fieldsID="1f0faaa72a100089e07d9e4dc17519ec" ns2:_="">
    <xsd:import namespace="9a5820fe-c94f-47a2-ab80-3b28a2936dca"/>
    <xsd:element name="properties">
      <xsd:complexType>
        <xsd:sequence>
          <xsd:element name="documentManagement">
            <xsd:complexType>
              <xsd:all>
                <xsd:element ref="ns2:Document_x0020_Description" minOccurs="0"/>
                <xsd:element ref="ns2:To_x0020_be_x0020_completed_x0020_by" minOccurs="0"/>
                <xsd:element ref="ns2:Mandatory_x0020_for_x0020_ORB"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a5820fe-c94f-47a2-ab80-3b28a2936dca" elementFormDefault="qualified">
    <xsd:import namespace="http://schemas.microsoft.com/office/2006/documentManagement/types"/>
    <xsd:import namespace="http://schemas.microsoft.com/office/infopath/2007/PartnerControls"/>
    <xsd:element name="Document_x0020_Description" ma:index="2" nillable="true" ma:displayName="Document Description" ma:internalName="Document_x0020_Description">
      <xsd:simpleType>
        <xsd:restriction base="dms:Text">
          <xsd:maxLength value="255"/>
        </xsd:restriction>
      </xsd:simpleType>
    </xsd:element>
    <xsd:element name="To_x0020_be_x0020_completed_x0020_by" ma:index="3" nillable="true" ma:displayName="To be completed by" ma:internalName="To_x0020_be_x0020_completed_x0020_by">
      <xsd:simpleType>
        <xsd:restriction base="dms:Text">
          <xsd:maxLength value="255"/>
        </xsd:restriction>
      </xsd:simpleType>
    </xsd:element>
    <xsd:element name="Mandatory_x0020_for_x0020_ORB" ma:index="4" nillable="true" ma:displayName="Mandatory for ORB" ma:default="1" ma:description="Is the document mandatory for ORB Review" ma:internalName="Mandatory_x0020_for_x0020_ORB">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9A72B7-3912-4E62-A86D-D2147FA2B3F5}">
  <ds:schemaRefs>
    <ds:schemaRef ds:uri="http://purl.org/dc/elements/1.1/"/>
    <ds:schemaRef ds:uri="http://www.w3.org/XML/1998/namespace"/>
    <ds:schemaRef ds:uri="9a5820fe-c94f-47a2-ab80-3b28a2936dca"/>
    <ds:schemaRef ds:uri="http://schemas.microsoft.com/office/2006/metadata/properties"/>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2.xml><?xml version="1.0" encoding="utf-8"?>
<ds:datastoreItem xmlns:ds="http://schemas.openxmlformats.org/officeDocument/2006/customXml" ds:itemID="{F77138A0-1BB6-4D59-8663-CFFFE363B3D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a5820fe-c94f-47a2-ab80-3b28a2936dc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7B5853A-E1FC-4473-8D9E-4CC3D6684F5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Project Review #1</vt:lpstr>
      <vt:lpstr>Quality Assurance #1</vt:lpstr>
      <vt:lpstr>Mandatory</vt:lpstr>
      <vt:lpstr>category list</vt:lpstr>
      <vt:lpstr>Quality Assurance old</vt:lpstr>
      <vt:lpstr>Project Closure </vt:lpstr>
      <vt:lpstr>Control Data</vt:lpstr>
      <vt:lpstr>Grade_Scale</vt:lpstr>
      <vt:lpstr>Grades</vt:lpstr>
      <vt:lpstr>'Project Closure '!Print_Area</vt:lpstr>
      <vt:lpstr>'Project Review #1'!Print_Area</vt:lpstr>
      <vt:lpstr>'Quality Assurance #1'!Print_Area</vt:lpstr>
      <vt:lpstr>v_A</vt:lpstr>
      <vt:lpstr>v_B</vt:lpstr>
      <vt:lpstr>v_C</vt:lpstr>
      <vt:lpstr>v_D</vt:lpstr>
      <vt:lpstr>v_Domain</vt:lpstr>
      <vt:lpstr>v_Topic</vt:lpstr>
    </vt:vector>
  </TitlesOfParts>
  <Company>DASSAULT SYSTEMES</Company>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2012-10-05T15:27:53Z</dcterms:created>
  <dc:creator>Kevin Clayton</dc:creator>
  <lastModifiedBy>PAVSIC Sylvie</lastModifiedBy>
  <lastPrinted>2012-10-05T15:27:53Z</lastPrinted>
  <dcterms:modified xsi:type="dcterms:W3CDTF">2017-10-19T14:30:06Z</dcterms:modified>
  <dc:title>Proj Rvw 1 CustomerName ProjName DSLxxxx mmddyy-trigram-T9-R1T</dc:title>
</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0x0101007C6BDAF9A8C17842A0884F2D9BA3DB0F</vt:lpwstr>
  </property>
  <property fmtid="{D5CDD505-2E9C-101B-9397-08002B2CF9AE}" pid="3" name="Domain">
    <vt:lpwstr>QUICKSTART</vt:lpwstr>
  </property>
  <property fmtid="{D5CDD505-2E9C-101B-9397-08002B2CF9AE}" pid="4" name="Reference Location">
    <vt:lpwstr>27</vt:lpwstr>
  </property>
  <property fmtid="{D5CDD505-2E9C-101B-9397-08002B2CF9AE}" pid="5" name="Owner">
    <vt:lpwstr>LIN Howard28</vt:lpwstr>
  </property>
  <property fmtid="{D5CDD505-2E9C-101B-9397-08002B2CF9AE}" pid="6" name="Document Element">
    <vt:lpwstr>Gate Deliverables (Minimum)</vt:lpwstr>
  </property>
  <property fmtid="{D5CDD505-2E9C-101B-9397-08002B2CF9AE}" pid="7" name="Status">
    <vt:lpwstr>Released</vt:lpwstr>
  </property>
  <property fmtid="{D5CDD505-2E9C-101B-9397-08002B2CF9AE}" pid="8" name="Target File Name">
    <vt:lpwstr>GateDeliverablesMinimum.xlsx</vt:lpwstr>
  </property>
</Properties>
</file>